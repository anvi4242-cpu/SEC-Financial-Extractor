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D369868-F052-4198-833A-F06140F8ED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ublic-Comps" sheetId="15" r:id="rId1"/>
    <sheet name="Public-Comps (2)" sheetId="19" r:id="rId2"/>
    <sheet name="ValSum" sheetId="18" r:id="rId3"/>
    <sheet name="ValSum (2)" sheetId="20" r:id="rId4"/>
  </sheets>
  <definedNames>
    <definedName name="Diluted_Shares" localSheetId="3">'ValSum (2)'!$E$35</definedName>
    <definedName name="Diluted_Shares">ValSum!$E$35</definedName>
    <definedName name="_xlnm.Print_Area" localSheetId="0">'Public-Comps'!$A$1:$Z$40</definedName>
    <definedName name="_xlnm.Print_Area" localSheetId="1">'Public-Comps (2)'!$A$1:$Z$40</definedName>
    <definedName name="_xlnm.Print_Area" localSheetId="2">ValSum!$A$1:$N$39</definedName>
    <definedName name="_xlnm.Print_Area" localSheetId="3">'ValSum (2)'!$A$1:$N$39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8" i="15" l="1"/>
  <c r="K8" i="15"/>
  <c r="F35" i="15"/>
  <c r="L26" i="15"/>
  <c r="F8" i="15"/>
  <c r="K31" i="15"/>
  <c r="K9" i="15"/>
  <c r="S27" i="15"/>
  <c r="M27" i="15"/>
  <c r="L27" i="15"/>
  <c r="F26" i="15"/>
  <c r="F34" i="15" s="1"/>
  <c r="F16" i="15"/>
  <c r="F15" i="15"/>
  <c r="D18" i="15"/>
  <c r="D16" i="15"/>
  <c r="D17" i="15"/>
  <c r="D19" i="15"/>
  <c r="D15" i="15"/>
  <c r="U8" i="15"/>
  <c r="V8" i="15"/>
  <c r="F9" i="15"/>
  <c r="G12" i="19"/>
  <c r="G10" i="19"/>
  <c r="F10" i="19"/>
  <c r="F11" i="19"/>
  <c r="F12" i="19"/>
  <c r="F13" i="19"/>
  <c r="F9" i="19"/>
  <c r="E11" i="19"/>
  <c r="E12" i="19"/>
  <c r="E13" i="19"/>
  <c r="C39" i="19"/>
  <c r="B39" i="19"/>
  <c r="C31" i="19"/>
  <c r="B31" i="19"/>
  <c r="C30" i="19"/>
  <c r="B30" i="19"/>
  <c r="C29" i="19"/>
  <c r="B29" i="19"/>
  <c r="C28" i="19"/>
  <c r="B28" i="19"/>
  <c r="C27" i="19"/>
  <c r="B27" i="19"/>
  <c r="C26" i="19"/>
  <c r="B26" i="19"/>
  <c r="R25" i="19"/>
  <c r="O25" i="19"/>
  <c r="L25" i="19"/>
  <c r="W7" i="19"/>
  <c r="R7" i="19"/>
  <c r="O7" i="19"/>
  <c r="M7" i="19"/>
  <c r="J21" i="15"/>
  <c r="I21" i="15"/>
  <c r="H21" i="15"/>
  <c r="G21" i="15"/>
  <c r="E21" i="15"/>
  <c r="O26" i="15" l="1"/>
  <c r="M26" i="15"/>
  <c r="S25" i="19"/>
  <c r="P25" i="19"/>
  <c r="M25" i="19"/>
  <c r="X7" i="19"/>
  <c r="S7" i="19"/>
  <c r="P7" i="19"/>
  <c r="N7" i="19"/>
  <c r="B20" i="18"/>
  <c r="B19" i="18"/>
  <c r="B17" i="18"/>
  <c r="B16" i="18"/>
  <c r="B14" i="18"/>
  <c r="B13" i="18"/>
  <c r="C39" i="15"/>
  <c r="B39" i="15"/>
  <c r="M7" i="15"/>
  <c r="F21" i="15"/>
  <c r="F39" i="15" s="1"/>
  <c r="K21" i="15" l="1"/>
  <c r="K39" i="15" s="1"/>
  <c r="Q7" i="19"/>
  <c r="T7" i="19"/>
  <c r="Y7" i="19"/>
  <c r="N25" i="19"/>
  <c r="Q25" i="19"/>
  <c r="T25" i="19"/>
  <c r="H12" i="18" a="1"/>
  <c r="H12" i="18" s="1"/>
  <c r="O39" i="15" l="1"/>
  <c r="E22" i="20"/>
  <c r="H15" i="18"/>
  <c r="H19" i="18"/>
  <c r="H14" i="18"/>
  <c r="H13" i="18"/>
  <c r="H18" i="18"/>
  <c r="H17" i="18"/>
  <c r="H16" i="18"/>
  <c r="H20" i="18"/>
  <c r="R25" i="15" l="1"/>
  <c r="O25" i="15"/>
  <c r="L25" i="15"/>
  <c r="W7" i="15"/>
  <c r="R7" i="15"/>
  <c r="P7" i="15"/>
  <c r="S7" i="15" l="1"/>
  <c r="P25" i="15"/>
  <c r="X7" i="15"/>
  <c r="S25" i="15"/>
  <c r="M25" i="15"/>
  <c r="N7" i="15"/>
  <c r="N25" i="15" l="1"/>
  <c r="Q7" i="15"/>
  <c r="Y7" i="15"/>
  <c r="Q25" i="15"/>
  <c r="T25" i="15"/>
  <c r="T7" i="15"/>
  <c r="W21" i="15" l="1"/>
  <c r="T39" i="15" l="1"/>
  <c r="S39" i="15"/>
  <c r="R39" i="15"/>
  <c r="L39" i="15" l="1"/>
  <c r="T19" i="15"/>
  <c r="T18" i="15"/>
  <c r="Q16" i="15"/>
  <c r="Q15" i="15"/>
  <c r="Y13" i="15"/>
  <c r="X13" i="15"/>
  <c r="W13" i="15"/>
  <c r="V13" i="15"/>
  <c r="U13" i="15"/>
  <c r="F13" i="15"/>
  <c r="T31" i="15" s="1"/>
  <c r="W12" i="15"/>
  <c r="V12" i="15"/>
  <c r="U12" i="15"/>
  <c r="Y12" i="15"/>
  <c r="X12" i="15"/>
  <c r="F12" i="15"/>
  <c r="S30" i="15" s="1"/>
  <c r="Y11" i="15"/>
  <c r="X11" i="15"/>
  <c r="W11" i="15"/>
  <c r="V11" i="15"/>
  <c r="U11" i="15"/>
  <c r="F11" i="15"/>
  <c r="S29" i="15" s="1"/>
  <c r="C31" i="15"/>
  <c r="B31" i="15"/>
  <c r="C30" i="15"/>
  <c r="B30" i="15"/>
  <c r="C29" i="15"/>
  <c r="B29" i="15"/>
  <c r="C28" i="15"/>
  <c r="B28" i="15"/>
  <c r="C27" i="15"/>
  <c r="B27" i="15"/>
  <c r="C26" i="15"/>
  <c r="B26" i="15"/>
  <c r="Y10" i="15"/>
  <c r="W10" i="15"/>
  <c r="V10" i="15"/>
  <c r="U10" i="15"/>
  <c r="T16" i="15"/>
  <c r="Q19" i="15"/>
  <c r="X10" i="15"/>
  <c r="N18" i="15"/>
  <c r="F10" i="15"/>
  <c r="S28" i="15" s="1"/>
  <c r="Y9" i="15"/>
  <c r="X9" i="15"/>
  <c r="W9" i="15"/>
  <c r="V9" i="15"/>
  <c r="U9" i="15"/>
  <c r="T27" i="15"/>
  <c r="S31" i="15" l="1"/>
  <c r="K11" i="15"/>
  <c r="N29" i="15" s="1"/>
  <c r="F31" i="15"/>
  <c r="T29" i="15"/>
  <c r="K13" i="15"/>
  <c r="P31" i="15" s="1"/>
  <c r="R31" i="15"/>
  <c r="Q29" i="15"/>
  <c r="T28" i="15"/>
  <c r="T30" i="15"/>
  <c r="N19" i="15"/>
  <c r="T17" i="15"/>
  <c r="K10" i="15"/>
  <c r="F27" i="15"/>
  <c r="R27" i="15"/>
  <c r="F29" i="15"/>
  <c r="R29" i="15"/>
  <c r="Q17" i="15"/>
  <c r="K29" i="15"/>
  <c r="N15" i="15"/>
  <c r="Q18" i="15"/>
  <c r="K12" i="15"/>
  <c r="P27" i="15"/>
  <c r="N31" i="15"/>
  <c r="N16" i="15"/>
  <c r="F28" i="15"/>
  <c r="R28" i="15"/>
  <c r="F30" i="15"/>
  <c r="R30" i="15"/>
  <c r="N17" i="15"/>
  <c r="T15" i="15"/>
  <c r="O7" i="15"/>
  <c r="Y8" i="15"/>
  <c r="P29" i="15" l="1"/>
  <c r="O29" i="15"/>
  <c r="L29" i="15"/>
  <c r="M29" i="15"/>
  <c r="O31" i="15"/>
  <c r="L31" i="15"/>
  <c r="Q31" i="15"/>
  <c r="M31" i="15"/>
  <c r="K30" i="15"/>
  <c r="Q30" i="15"/>
  <c r="P30" i="15"/>
  <c r="O30" i="15"/>
  <c r="N30" i="15"/>
  <c r="M30" i="15"/>
  <c r="L30" i="15"/>
  <c r="Y19" i="15"/>
  <c r="Y18" i="15"/>
  <c r="Y17" i="15"/>
  <c r="Y16" i="15"/>
  <c r="Y15" i="15"/>
  <c r="N27" i="15"/>
  <c r="Q27" i="15"/>
  <c r="K27" i="15"/>
  <c r="O27" i="15"/>
  <c r="K28" i="15"/>
  <c r="Q28" i="15"/>
  <c r="M28" i="15"/>
  <c r="P28" i="15"/>
  <c r="O28" i="15"/>
  <c r="L28" i="15"/>
  <c r="N28" i="15"/>
  <c r="N26" i="15" l="1"/>
  <c r="T26" i="15"/>
  <c r="S26" i="15"/>
  <c r="R26" i="15"/>
  <c r="K26" i="15" l="1"/>
  <c r="K35" i="15" s="1"/>
  <c r="P26" i="15"/>
  <c r="Q26" i="15"/>
  <c r="Q36" i="15" s="1"/>
  <c r="T33" i="15"/>
  <c r="T36" i="15"/>
  <c r="T37" i="15"/>
  <c r="T35" i="15"/>
  <c r="T34" i="15"/>
  <c r="N36" i="15"/>
  <c r="N35" i="15"/>
  <c r="N34" i="15"/>
  <c r="N33" i="15"/>
  <c r="N37" i="15"/>
  <c r="Q34" i="15" l="1"/>
  <c r="Q33" i="15"/>
  <c r="Q37" i="15"/>
  <c r="Q35" i="15"/>
  <c r="F33" i="15" l="1"/>
  <c r="K33" i="15"/>
  <c r="K34" i="15"/>
  <c r="F36" i="15"/>
  <c r="K36" i="15"/>
  <c r="F37" i="15"/>
  <c r="K37" i="15"/>
  <c r="K15" i="15"/>
  <c r="L15" i="15"/>
  <c r="M15" i="15"/>
  <c r="O15" i="15"/>
  <c r="P15" i="15"/>
  <c r="R15" i="15"/>
  <c r="S15" i="15"/>
  <c r="K16" i="15"/>
  <c r="L16" i="15"/>
  <c r="M16" i="15"/>
  <c r="O16" i="15"/>
  <c r="P16" i="15"/>
  <c r="R16" i="15"/>
  <c r="S16" i="15"/>
  <c r="F17" i="15"/>
  <c r="K17" i="15"/>
  <c r="L17" i="15"/>
  <c r="M17" i="15"/>
  <c r="O17" i="15"/>
  <c r="P17" i="15"/>
  <c r="R17" i="15"/>
  <c r="S17" i="15"/>
  <c r="F18" i="15"/>
  <c r="K18" i="15"/>
  <c r="L18" i="15"/>
  <c r="M18" i="15"/>
  <c r="O18" i="15"/>
  <c r="P18" i="15"/>
  <c r="R18" i="15"/>
  <c r="S18" i="15"/>
  <c r="F19" i="15"/>
  <c r="K19" i="15"/>
  <c r="L19" i="15"/>
  <c r="M19" i="15"/>
  <c r="O19" i="15"/>
  <c r="P19" i="15"/>
  <c r="R19" i="15"/>
  <c r="S19" i="15"/>
  <c r="W8" i="15"/>
  <c r="S35" i="15" l="1"/>
  <c r="X15" i="15"/>
  <c r="W15" i="15"/>
  <c r="V15" i="15"/>
  <c r="U16" i="15"/>
  <c r="O33" i="15"/>
  <c r="U19" i="15"/>
  <c r="V19" i="15"/>
  <c r="P33" i="15"/>
  <c r="L33" i="15"/>
  <c r="R33" i="15"/>
  <c r="U15" i="15"/>
  <c r="V17" i="15"/>
  <c r="X18" i="15"/>
  <c r="M33" i="15"/>
  <c r="S33" i="15"/>
  <c r="W16" i="15"/>
  <c r="S37" i="15"/>
  <c r="S36" i="15"/>
  <c r="S34" i="15"/>
  <c r="X16" i="15"/>
  <c r="W18" i="15"/>
  <c r="V18" i="15"/>
  <c r="V16" i="15"/>
  <c r="R37" i="15"/>
  <c r="R36" i="15"/>
  <c r="R35" i="15"/>
  <c r="R34" i="15"/>
  <c r="W19" i="15"/>
  <c r="W17" i="15"/>
  <c r="U18" i="15"/>
  <c r="P37" i="15"/>
  <c r="P36" i="15"/>
  <c r="P35" i="15"/>
  <c r="P34" i="15"/>
  <c r="X19" i="15"/>
  <c r="X17" i="15"/>
  <c r="O37" i="15"/>
  <c r="O36" i="15"/>
  <c r="O35" i="15"/>
  <c r="O34" i="15"/>
  <c r="M37" i="15"/>
  <c r="M36" i="15"/>
  <c r="M35" i="15"/>
  <c r="M34" i="15"/>
  <c r="L37" i="15"/>
  <c r="L36" i="15"/>
  <c r="L35" i="15"/>
  <c r="L34" i="15"/>
  <c r="U17" i="15"/>
  <c r="C12" i="18" l="1" a="1"/>
  <c r="P39" i="15"/>
  <c r="D12" i="18" l="1"/>
  <c r="L24" i="18" s="1"/>
  <c r="L12" i="18" s="1"/>
  <c r="C18" i="18"/>
  <c r="M30" i="18" s="1"/>
  <c r="M18" i="18" s="1"/>
  <c r="F17" i="18"/>
  <c r="J29" i="18" s="1"/>
  <c r="J17" i="18" s="1"/>
  <c r="E14" i="18"/>
  <c r="K26" i="18" s="1"/>
  <c r="K14" i="18" s="1"/>
  <c r="F18" i="18"/>
  <c r="J30" i="18" s="1"/>
  <c r="J18" i="18" s="1"/>
  <c r="G12" i="18"/>
  <c r="I24" i="18" s="1"/>
  <c r="E20" i="18"/>
  <c r="K32" i="18" s="1"/>
  <c r="K20" i="18" s="1"/>
  <c r="C17" i="18"/>
  <c r="M29" i="18" s="1"/>
  <c r="M17" i="18" s="1"/>
  <c r="G14" i="18"/>
  <c r="I26" i="18" s="1"/>
  <c r="I14" i="18" s="1"/>
  <c r="F20" i="18"/>
  <c r="J32" i="18" s="1"/>
  <c r="J20" i="18" s="1"/>
  <c r="G18" i="18"/>
  <c r="E15" i="18"/>
  <c r="K27" i="18" s="1"/>
  <c r="K15" i="18" s="1"/>
  <c r="D13" i="18"/>
  <c r="L25" i="18" s="1"/>
  <c r="L13" i="18" s="1"/>
  <c r="D17" i="18"/>
  <c r="L29" i="18" s="1"/>
  <c r="L17" i="18" s="1"/>
  <c r="G13" i="18"/>
  <c r="I25" i="18" s="1"/>
  <c r="E17" i="18"/>
  <c r="K29" i="18" s="1"/>
  <c r="K17" i="18" s="1"/>
  <c r="F12" i="18"/>
  <c r="D16" i="18"/>
  <c r="L28" i="18" s="1"/>
  <c r="L16" i="18" s="1"/>
  <c r="F16" i="18"/>
  <c r="J28" i="18" s="1"/>
  <c r="J16" i="18" s="1"/>
  <c r="G20" i="18"/>
  <c r="I32" i="18" s="1"/>
  <c r="I20" i="18" s="1"/>
  <c r="C15" i="18"/>
  <c r="M27" i="18" s="1"/>
  <c r="M15" i="18" s="1"/>
  <c r="E13" i="18"/>
  <c r="K25" i="18" s="1"/>
  <c r="K13" i="18" s="1"/>
  <c r="E16" i="18"/>
  <c r="K28" i="18" s="1"/>
  <c r="K16" i="18" s="1"/>
  <c r="C19" i="18"/>
  <c r="M31" i="18" s="1"/>
  <c r="M19" i="18" s="1"/>
  <c r="G16" i="18"/>
  <c r="I28" i="18" s="1"/>
  <c r="I16" i="18" s="1"/>
  <c r="F15" i="18"/>
  <c r="J27" i="18" s="1"/>
  <c r="J15" i="18" s="1"/>
  <c r="D18" i="18"/>
  <c r="L30" i="18" s="1"/>
  <c r="L18" i="18" s="1"/>
  <c r="G15" i="18"/>
  <c r="I27" i="18" s="1"/>
  <c r="I15" i="18" s="1"/>
  <c r="C14" i="18"/>
  <c r="E19" i="18"/>
  <c r="K31" i="18" s="1"/>
  <c r="K19" i="18" s="1"/>
  <c r="D14" i="18"/>
  <c r="L26" i="18" s="1"/>
  <c r="L14" i="18" s="1"/>
  <c r="E12" i="18"/>
  <c r="K24" i="18" s="1"/>
  <c r="K12" i="18" s="1"/>
  <c r="F13" i="18"/>
  <c r="F14" i="18"/>
  <c r="J26" i="18" s="1"/>
  <c r="J14" i="18" s="1"/>
  <c r="G19" i="18"/>
  <c r="I31" i="18" s="1"/>
  <c r="I19" i="18" s="1"/>
  <c r="C13" i="18"/>
  <c r="M25" i="18" s="1"/>
  <c r="M13" i="18" s="1"/>
  <c r="C16" i="18"/>
  <c r="M28" i="18" s="1"/>
  <c r="M16" i="18" s="1"/>
  <c r="F19" i="18"/>
  <c r="J31" i="18" s="1"/>
  <c r="J19" i="18" s="1"/>
  <c r="E18" i="18"/>
  <c r="K30" i="18" s="1"/>
  <c r="K18" i="18" s="1"/>
  <c r="D19" i="18"/>
  <c r="L31" i="18" s="1"/>
  <c r="L19" i="18" s="1"/>
  <c r="G17" i="18"/>
  <c r="I29" i="18" s="1"/>
  <c r="I17" i="18" s="1"/>
  <c r="D15" i="18"/>
  <c r="L27" i="18" s="1"/>
  <c r="L15" i="18" s="1"/>
  <c r="C20" i="18"/>
  <c r="M32" i="18" s="1"/>
  <c r="M20" i="18" s="1"/>
  <c r="C12" i="18"/>
  <c r="M24" i="18" s="1"/>
  <c r="M12" i="18" s="1"/>
  <c r="D20" i="18"/>
  <c r="L32" i="18" s="1"/>
  <c r="L20" i="18" s="1"/>
  <c r="M39" i="15"/>
  <c r="X21" i="15"/>
  <c r="Q39" i="15"/>
  <c r="J25" i="18" l="1"/>
  <c r="J13" i="18" s="1"/>
  <c r="M26" i="18"/>
  <c r="M14" i="18" s="1"/>
  <c r="I30" i="18"/>
  <c r="I18" i="18" s="1"/>
  <c r="E22" i="18"/>
  <c r="E33" i="18" s="1"/>
  <c r="E37" i="18" s="1"/>
  <c r="E38" i="18" s="1"/>
  <c r="I12" i="18"/>
  <c r="J24" i="18"/>
  <c r="J12" i="18" s="1"/>
  <c r="I13" i="18"/>
  <c r="U21" i="15"/>
  <c r="N39" i="15"/>
  <c r="Y21" i="15"/>
  <c r="V21" i="15"/>
</calcChain>
</file>

<file path=xl/sharedStrings.xml><?xml version="1.0" encoding="utf-8"?>
<sst xmlns="http://schemas.openxmlformats.org/spreadsheetml/2006/main" count="264" uniqueCount="89">
  <si>
    <t>Comparable Companies - U.S.-Based Steel Manufacturer Companies with FY16 Projected Revenue Between $1 Billion and $20 Billion</t>
  </si>
  <si>
    <t>($ USD in Millions Except Per Share Amounts in USD as Stated)</t>
  </si>
  <si>
    <t>Operating Statistics:</t>
  </si>
  <si>
    <t>Capitalization</t>
  </si>
  <si>
    <t>Projected</t>
  </si>
  <si>
    <t>Share</t>
  </si>
  <si>
    <t>Diluted</t>
  </si>
  <si>
    <t>Equity</t>
  </si>
  <si>
    <t>Preferred</t>
  </si>
  <si>
    <t>Other &amp;</t>
  </si>
  <si>
    <t>Enterprise</t>
  </si>
  <si>
    <t>Revenue</t>
  </si>
  <si>
    <t>EBITDA</t>
  </si>
  <si>
    <t>Net Income</t>
  </si>
  <si>
    <t>EBITDA Margin</t>
  </si>
  <si>
    <t>Company Name</t>
  </si>
  <si>
    <t>Ticker</t>
  </si>
  <si>
    <t>Price</t>
  </si>
  <si>
    <t>Shares</t>
  </si>
  <si>
    <t>Value</t>
  </si>
  <si>
    <t>Cash</t>
  </si>
  <si>
    <t>Debt</t>
  </si>
  <si>
    <t>Stock</t>
  </si>
  <si>
    <t>NCI</t>
  </si>
  <si>
    <t>LTM</t>
  </si>
  <si>
    <t>Growth</t>
  </si>
  <si>
    <t>United States Steel Corp.</t>
  </si>
  <si>
    <t>X</t>
  </si>
  <si>
    <t>Nucor Corporation</t>
  </si>
  <si>
    <t>NUE</t>
  </si>
  <si>
    <t>Commercial Metals Company</t>
  </si>
  <si>
    <t>CMC</t>
  </si>
  <si>
    <t>AK Steel Holding Corporation</t>
  </si>
  <si>
    <t>AKS</t>
  </si>
  <si>
    <t>Worthington Industries, Inc.</t>
  </si>
  <si>
    <t>WOR</t>
  </si>
  <si>
    <t>Reliance Steel &amp; Aluminum Co.</t>
  </si>
  <si>
    <t>RS</t>
  </si>
  <si>
    <t>Maximum</t>
  </si>
  <si>
    <t>75th Percentile</t>
  </si>
  <si>
    <t>Median</t>
  </si>
  <si>
    <t>25th Percentile</t>
  </si>
  <si>
    <t>Minimum</t>
  </si>
  <si>
    <t>Steel Dynamics Inc.</t>
  </si>
  <si>
    <t>STLD</t>
  </si>
  <si>
    <t>Valuation Statistics:</t>
  </si>
  <si>
    <t>Enterprise Value /</t>
  </si>
  <si>
    <t>P / E Multiple</t>
  </si>
  <si>
    <t>Ryerson Holding Corp</t>
  </si>
  <si>
    <t>ZEUS</t>
  </si>
  <si>
    <t>Valuation Summary - Steel Dynamics Inc.</t>
  </si>
  <si>
    <t>Steel Dynamics Inc. - Range of Valuation Multiples / Premiums</t>
  </si>
  <si>
    <t>Steel Dynamics Inc. - Implied Per Share Value Range</t>
  </si>
  <si>
    <t>75th</t>
  </si>
  <si>
    <t>25th</t>
  </si>
  <si>
    <t>Applicable</t>
  </si>
  <si>
    <t>Percentile</t>
  </si>
  <si>
    <t>Company</t>
  </si>
  <si>
    <t>Methodology Name</t>
  </si>
  <si>
    <t>Multiple</t>
  </si>
  <si>
    <t>Figure</t>
  </si>
  <si>
    <t>Public Company Comparables:</t>
  </si>
  <si>
    <t>LTM EV / Revenue:</t>
  </si>
  <si>
    <t>LTM EV / EBITDA:</t>
  </si>
  <si>
    <t>LTM P / E:</t>
  </si>
  <si>
    <t>Implied Enterprise Value:</t>
  </si>
  <si>
    <t>Implied Enterprise Value or Equity Value at a Range of Multiples:</t>
  </si>
  <si>
    <t>(+) Cash &amp; Cash-Equivalents:</t>
  </si>
  <si>
    <t>(+) Equity Investments:</t>
  </si>
  <si>
    <t>Enterprise Value --&gt;</t>
  </si>
  <si>
    <t>(+) Other Non-Core Assets, Net:</t>
  </si>
  <si>
    <t>(+) Net Operating Losses:</t>
  </si>
  <si>
    <t>(-) Total Debt:</t>
  </si>
  <si>
    <t>(-) Preferred Stock:</t>
  </si>
  <si>
    <t>(-) Noncontrolling Interests:</t>
  </si>
  <si>
    <t>(-) Unfunded Pension Obligations:</t>
  </si>
  <si>
    <t>Equity Value --&gt;</t>
  </si>
  <si>
    <t>(-) Capital Leases:</t>
  </si>
  <si>
    <t>(-) Restructuring &amp; Other Liabilities:</t>
  </si>
  <si>
    <t>Implied Equity Value:</t>
  </si>
  <si>
    <t>Diluted Shares Outstanding:</t>
  </si>
  <si>
    <t>Implied Share Price from DCF:</t>
  </si>
  <si>
    <t>Premium / (Discount) to Current:</t>
  </si>
  <si>
    <t>FY 17 EV / Revenue:</t>
  </si>
  <si>
    <t>FY 18 EV / Revenue:</t>
  </si>
  <si>
    <t>FY 17 EV / EBITDA:</t>
  </si>
  <si>
    <t>FY 18 EV / EBITDA:</t>
  </si>
  <si>
    <t>FY 17 P / E:</t>
  </si>
  <si>
    <t>FY 18 P / 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</si>
</sst>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&quot;$&quot;* #,##0.0_);_(&quot;$&quot;* \(#,##0.0\);_(&quot;$&quot;* &quot;-&quot;?_);_(@_)"/>
    <numFmt numFmtId="168" formatCode="0.0%;\(0.0%\)"/>
    <numFmt numFmtId="169" formatCode="_(* #,##0.0_);_(* \(#,##0.0\);_(* &quot;-&quot;?_);_(@_)"/>
    <numFmt numFmtId="170" formatCode="0.0\ \x"/>
    <numFmt numFmtId="171" formatCode="_(* #,##0.000_);_(* \(#,##0.000\);_(* &quot;-&quot;???_);_(@_)"/>
    <numFmt numFmtId="172" formatCode="_(#,##0.0%_);\(#,##0.0%\);_(&quot;–&quot;_)_%;_(@_)_%"/>
    <numFmt numFmtId="173" formatCode="_(&quot;$&quot;* #,##0.0_);_(&quot;$&quot;* \(#,##0.0\);_(&quot;$&quot;* &quot;-&quot;_);_(@_)"/>
    <numFmt numFmtId="174" formatCode="_(&quot;$&quot;#,##0.00_)_%;\(&quot;$&quot;#,##0.00\)_%;_(&quot;–&quot;_)_%;_(@_)_%"/>
    <numFmt numFmtId="175" formatCode="_(&quot;$&quot;* #,##0.0_);_(&quot;$&quot;* \(#,##0.0\);_(&quot;$&quot;* &quot;-&quot;??_);_(@_)"/>
    <numFmt numFmtId="176" formatCode="_(* #,##0.0_);_(* \(#,##0.0\);_(* &quot;-&quot;??_);_(@_)"/>
    <numFmt numFmtId="177" formatCode="&quot;FY&quot;yy"/>
    <numFmt numFmtId="178" formatCode="_([$$-409]* #,##0.00_);_([$$-409]* \(#,##0.00\);_([$$-409]* &quot;-&quot;??_);_(@_)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u/>
      <sz val="12"/>
      <color indexed="9"/>
      <name val="Calibri"/>
      <family val="2"/>
      <scheme val="minor"/>
    </font>
    <font>
      <u/>
      <sz val="12"/>
      <color indexed="9"/>
      <name val="Calibri"/>
      <family val="2"/>
      <scheme val="minor"/>
    </font>
    <font>
      <sz val="12"/>
      <color indexed="9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indexed="8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F497D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3" fillId="0" borderId="0"/>
    <xf numFmtId="0" fontId="4" fillId="0" borderId="0"/>
    <xf numFmtId="0" fontId="4" fillId="0" borderId="0"/>
    <xf numFmtId="0" fontId="14" fillId="0" borderId="0" applyAlignment="0"/>
    <xf numFmtId="0" fontId="4" fillId="0" borderId="0"/>
  </cellStyleXfs>
  <cellXfs count="100">
    <xf numFmtId="0" fontId="0" fillId="0" borderId="0" xfId="0"/>
    <xf numFmtId="0" fontId="5" fillId="0" borderId="0" xfId="1" applyFont="1"/>
    <xf numFmtId="0" fontId="5" fillId="0" borderId="0" xfId="3" applyFont="1"/>
    <xf numFmtId="0" fontId="6" fillId="0" borderId="0" xfId="1" applyFont="1"/>
    <xf numFmtId="0" fontId="10" fillId="2" borderId="0" xfId="1" applyFont="1" applyFill="1"/>
    <xf numFmtId="0" fontId="7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Continuous"/>
    </xf>
    <xf numFmtId="0" fontId="7" fillId="2" borderId="5" xfId="1" applyFont="1" applyFill="1" applyBorder="1"/>
    <xf numFmtId="0" fontId="7" fillId="2" borderId="5" xfId="1" applyFont="1" applyFill="1" applyBorder="1" applyAlignment="1">
      <alignment horizontal="center"/>
    </xf>
    <xf numFmtId="14" fontId="7" fillId="2" borderId="5" xfId="1" applyNumberFormat="1" applyFont="1" applyFill="1" applyBorder="1" applyAlignment="1">
      <alignment horizontal="center"/>
    </xf>
    <xf numFmtId="0" fontId="9" fillId="2" borderId="0" xfId="1" applyFont="1" applyFill="1" applyAlignment="1">
      <alignment horizontal="centerContinuous"/>
    </xf>
    <xf numFmtId="0" fontId="10" fillId="2" borderId="0" xfId="1" applyFont="1" applyFill="1" applyAlignment="1">
      <alignment horizontal="centerContinuous"/>
    </xf>
    <xf numFmtId="165" fontId="11" fillId="0" borderId="0" xfId="1" applyNumberFormat="1" applyFont="1"/>
    <xf numFmtId="169" fontId="11" fillId="0" borderId="0" xfId="1" applyNumberFormat="1" applyFont="1"/>
    <xf numFmtId="167" fontId="11" fillId="0" borderId="0" xfId="1" applyNumberFormat="1" applyFont="1"/>
    <xf numFmtId="166" fontId="11" fillId="0" borderId="0" xfId="1" applyNumberFormat="1" applyFont="1"/>
    <xf numFmtId="0" fontId="6" fillId="0" borderId="1" xfId="1" applyFont="1" applyBorder="1"/>
    <xf numFmtId="0" fontId="6" fillId="0" borderId="2" xfId="1" applyFont="1" applyBorder="1"/>
    <xf numFmtId="165" fontId="6" fillId="0" borderId="2" xfId="1" applyNumberFormat="1" applyFont="1" applyBorder="1"/>
    <xf numFmtId="175" fontId="6" fillId="0" borderId="2" xfId="1" applyNumberFormat="1" applyFont="1" applyBorder="1"/>
    <xf numFmtId="172" fontId="6" fillId="0" borderId="2" xfId="1" applyNumberFormat="1" applyFont="1" applyBorder="1"/>
    <xf numFmtId="172" fontId="6" fillId="0" borderId="3" xfId="1" applyNumberFormat="1" applyFont="1" applyBorder="1"/>
    <xf numFmtId="0" fontId="6" fillId="0" borderId="7" xfId="1" applyFont="1" applyBorder="1"/>
    <xf numFmtId="166" fontId="6" fillId="0" borderId="0" xfId="1" applyNumberFormat="1" applyFont="1"/>
    <xf numFmtId="176" fontId="6" fillId="0" borderId="0" xfId="1" applyNumberFormat="1" applyFont="1"/>
    <xf numFmtId="172" fontId="6" fillId="0" borderId="0" xfId="1" applyNumberFormat="1" applyFont="1"/>
    <xf numFmtId="172" fontId="6" fillId="0" borderId="8" xfId="1" applyNumberFormat="1" applyFont="1" applyBorder="1"/>
    <xf numFmtId="0" fontId="12" fillId="5" borderId="9" xfId="1" applyFont="1" applyFill="1" applyBorder="1"/>
    <xf numFmtId="0" fontId="12" fillId="5" borderId="10" xfId="1" applyFont="1" applyFill="1" applyBorder="1"/>
    <xf numFmtId="165" fontId="12" fillId="5" borderId="10" xfId="1" applyNumberFormat="1" applyFont="1" applyFill="1" applyBorder="1"/>
    <xf numFmtId="175" fontId="12" fillId="5" borderId="10" xfId="1" applyNumberFormat="1" applyFont="1" applyFill="1" applyBorder="1"/>
    <xf numFmtId="172" fontId="12" fillId="5" borderId="10" xfId="1" applyNumberFormat="1" applyFont="1" applyFill="1" applyBorder="1"/>
    <xf numFmtId="172" fontId="12" fillId="5" borderId="11" xfId="1" applyNumberFormat="1" applyFont="1" applyFill="1" applyBorder="1"/>
    <xf numFmtId="0" fontId="12" fillId="0" borderId="0" xfId="1" applyFont="1"/>
    <xf numFmtId="0" fontId="6" fillId="0" borderId="4" xfId="1" applyFont="1" applyBorder="1"/>
    <xf numFmtId="0" fontId="12" fillId="0" borderId="5" xfId="1" applyFont="1" applyBorder="1"/>
    <xf numFmtId="166" fontId="6" fillId="0" borderId="5" xfId="1" applyNumberFormat="1" applyFont="1" applyBorder="1"/>
    <xf numFmtId="176" fontId="6" fillId="0" borderId="5" xfId="1" applyNumberFormat="1" applyFont="1" applyBorder="1"/>
    <xf numFmtId="172" fontId="6" fillId="0" borderId="5" xfId="1" applyNumberFormat="1" applyFont="1" applyBorder="1"/>
    <xf numFmtId="172" fontId="6" fillId="0" borderId="6" xfId="1" applyNumberFormat="1" applyFont="1" applyBorder="1"/>
    <xf numFmtId="0" fontId="13" fillId="6" borderId="9" xfId="1" applyFont="1" applyFill="1" applyBorder="1"/>
    <xf numFmtId="0" fontId="13" fillId="6" borderId="10" xfId="1" applyFont="1" applyFill="1" applyBorder="1"/>
    <xf numFmtId="165" fontId="13" fillId="6" borderId="10" xfId="1" applyNumberFormat="1" applyFont="1" applyFill="1" applyBorder="1"/>
    <xf numFmtId="176" fontId="13" fillId="6" borderId="10" xfId="1" applyNumberFormat="1" applyFont="1" applyFill="1" applyBorder="1"/>
    <xf numFmtId="167" fontId="13" fillId="6" borderId="10" xfId="1" applyNumberFormat="1" applyFont="1" applyFill="1" applyBorder="1"/>
    <xf numFmtId="164" fontId="13" fillId="6" borderId="10" xfId="1" applyNumberFormat="1" applyFont="1" applyFill="1" applyBorder="1"/>
    <xf numFmtId="167" fontId="6" fillId="0" borderId="0" xfId="1" applyNumberFormat="1" applyFont="1"/>
    <xf numFmtId="0" fontId="7" fillId="2" borderId="0" xfId="2" applyFont="1" applyFill="1" applyAlignment="1">
      <alignment horizontal="left"/>
    </xf>
    <xf numFmtId="0" fontId="7" fillId="2" borderId="0" xfId="1" applyFont="1" applyFill="1"/>
    <xf numFmtId="170" fontId="6" fillId="0" borderId="0" xfId="1" applyNumberFormat="1" applyFont="1"/>
    <xf numFmtId="169" fontId="6" fillId="0" borderId="0" xfId="1" applyNumberFormat="1" applyFont="1"/>
    <xf numFmtId="170" fontId="6" fillId="0" borderId="2" xfId="1" applyNumberFormat="1" applyFont="1" applyBorder="1"/>
    <xf numFmtId="170" fontId="6" fillId="0" borderId="3" xfId="1" applyNumberFormat="1" applyFont="1" applyBorder="1"/>
    <xf numFmtId="170" fontId="6" fillId="0" borderId="8" xfId="1" applyNumberFormat="1" applyFont="1" applyBorder="1"/>
    <xf numFmtId="170" fontId="12" fillId="5" borderId="10" xfId="1" applyNumberFormat="1" applyFont="1" applyFill="1" applyBorder="1"/>
    <xf numFmtId="170" fontId="12" fillId="5" borderId="11" xfId="1" applyNumberFormat="1" applyFont="1" applyFill="1" applyBorder="1"/>
    <xf numFmtId="170" fontId="6" fillId="0" borderId="5" xfId="1" applyNumberFormat="1" applyFont="1" applyBorder="1"/>
    <xf numFmtId="170" fontId="6" fillId="0" borderId="6" xfId="1" applyNumberFormat="1" applyFont="1" applyBorder="1"/>
    <xf numFmtId="170" fontId="13" fillId="6" borderId="10" xfId="1" applyNumberFormat="1" applyFont="1" applyFill="1" applyBorder="1"/>
    <xf numFmtId="170" fontId="13" fillId="6" borderId="0" xfId="1" applyNumberFormat="1" applyFont="1" applyFill="1"/>
    <xf numFmtId="170" fontId="13" fillId="6" borderId="12" xfId="1" applyNumberFormat="1" applyFont="1" applyFill="1" applyBorder="1"/>
    <xf numFmtId="172" fontId="13" fillId="6" borderId="10" xfId="1" applyNumberFormat="1" applyFont="1" applyFill="1" applyBorder="1"/>
    <xf numFmtId="167" fontId="15" fillId="3" borderId="5" xfId="0" applyNumberFormat="1" applyFont="1" applyFill="1" applyBorder="1"/>
    <xf numFmtId="0" fontId="6" fillId="0" borderId="0" xfId="1" applyFont="1" applyAlignment="1">
      <alignment horizontal="left" indent="1"/>
    </xf>
    <xf numFmtId="0" fontId="12" fillId="3" borderId="2" xfId="1" applyFont="1" applyFill="1" applyBorder="1" applyAlignment="1">
      <alignment horizontal="left"/>
    </xf>
    <xf numFmtId="0" fontId="6" fillId="3" borderId="2" xfId="1" applyFont="1" applyFill="1" applyBorder="1"/>
    <xf numFmtId="169" fontId="12" fillId="3" borderId="0" xfId="1" applyNumberFormat="1" applyFont="1" applyFill="1"/>
    <xf numFmtId="0" fontId="6" fillId="0" borderId="0" xfId="1" applyFont="1" applyAlignment="1">
      <alignment horizontal="center"/>
    </xf>
    <xf numFmtId="0" fontId="12" fillId="4" borderId="1" xfId="1" applyFont="1" applyFill="1" applyBorder="1"/>
    <xf numFmtId="0" fontId="6" fillId="4" borderId="2" xfId="1" applyFont="1" applyFill="1" applyBorder="1"/>
    <xf numFmtId="165" fontId="12" fillId="4" borderId="3" xfId="1" applyNumberFormat="1" applyFont="1" applyFill="1" applyBorder="1"/>
    <xf numFmtId="0" fontId="12" fillId="4" borderId="4" xfId="1" applyFont="1" applyFill="1" applyBorder="1"/>
    <xf numFmtId="0" fontId="6" fillId="4" borderId="5" xfId="1" applyFont="1" applyFill="1" applyBorder="1"/>
    <xf numFmtId="168" fontId="12" fillId="4" borderId="6" xfId="1" applyNumberFormat="1" applyFont="1" applyFill="1" applyBorder="1"/>
    <xf numFmtId="177" fontId="13" fillId="7" borderId="5" xfId="0" applyNumberFormat="1" applyFont="1" applyFill="1" applyBorder="1" applyAlignment="1">
      <alignment horizontal="center"/>
    </xf>
    <xf numFmtId="1" fontId="6" fillId="0" borderId="0" xfId="1" applyNumberFormat="1" applyFont="1"/>
    <xf numFmtId="0" fontId="12" fillId="0" borderId="0" xfId="1" applyFont="1" applyAlignment="1">
      <alignment horizontal="center"/>
    </xf>
    <xf numFmtId="0" fontId="2" fillId="0" borderId="0" xfId="0" applyFont="1"/>
    <xf numFmtId="174" fontId="6" fillId="0" borderId="0" xfId="1" applyNumberFormat="1" applyFont="1"/>
    <xf numFmtId="0" fontId="15" fillId="0" borderId="0" xfId="0" applyFont="1"/>
    <xf numFmtId="170" fontId="16" fillId="0" borderId="0" xfId="0" applyNumberFormat="1" applyFont="1"/>
    <xf numFmtId="167" fontId="16" fillId="0" borderId="0" xfId="0" applyNumberFormat="1" applyFont="1"/>
    <xf numFmtId="169" fontId="16" fillId="0" borderId="0" xfId="0" applyNumberFormat="1" applyFont="1"/>
    <xf numFmtId="0" fontId="12" fillId="3" borderId="5" xfId="1" applyFont="1" applyFill="1" applyBorder="1"/>
    <xf numFmtId="0" fontId="15" fillId="3" borderId="5" xfId="3" applyFont="1" applyFill="1" applyBorder="1" applyAlignment="1">
      <alignment horizontal="centerContinuous"/>
    </xf>
    <xf numFmtId="0" fontId="17" fillId="0" borderId="0" xfId="0" applyFont="1"/>
    <xf numFmtId="0" fontId="1" fillId="0" borderId="0" xfId="0" applyFont="1"/>
    <xf numFmtId="169" fontId="11" fillId="0" borderId="0" xfId="0" applyNumberFormat="1" applyFont="1"/>
    <xf numFmtId="169" fontId="11" fillId="0" borderId="5" xfId="0" applyNumberFormat="1" applyFont="1" applyBorder="1"/>
    <xf numFmtId="171" fontId="11" fillId="0" borderId="0" xfId="0" applyNumberFormat="1" applyFont="1"/>
    <xf numFmtId="173" fontId="13" fillId="6" borderId="10" xfId="1" applyNumberFormat="1" applyFont="1" applyFill="1" applyBorder="1"/>
    <xf numFmtId="178" fontId="11" fillId="0" borderId="0" xfId="1" applyNumberFormat="1" applyFont="1"/>
    <xf numFmtId="0" fontId="1" fillId="0" borderId="0" xfId="3" applyFont="1"/>
    <xf numFmtId="0" fontId="1" fillId="0" borderId="0" xfId="0" applyFont="1" applyAlignment="1">
      <alignment horizontal="left" indent="1"/>
    </xf>
    <xf numFmtId="165" fontId="1" fillId="0" borderId="0" xfId="0" applyNumberFormat="1" applyFont="1"/>
    <xf numFmtId="166" fontId="1" fillId="0" borderId="0" xfId="0" applyNumberFormat="1" applyFont="1"/>
    <xf numFmtId="0" fontId="1" fillId="3" borderId="5" xfId="0" applyFont="1" applyFill="1" applyBorder="1"/>
    <xf numFmtId="0" fontId="1" fillId="3" borderId="5" xfId="3" applyFont="1" applyFill="1" applyBorder="1" applyAlignment="1">
      <alignment horizontal="centerContinuous"/>
    </xf>
    <xf numFmtId="167" fontId="1" fillId="0" borderId="0" xfId="0" applyNumberFormat="1" applyFont="1"/>
    <xf numFmtId="169" fontId="1" fillId="0" borderId="0" xfId="0" applyNumberFormat="1" applyFont="1"/>
  </cellXfs>
  <cellStyles count="6">
    <cellStyle name="Normal" xfId="0" builtinId="0"/>
    <cellStyle name="Normal 2" xfId="1" xr:uid="{00000000-0005-0000-0000-000001000000}"/>
    <cellStyle name="Normal 3 2" xfId="2" xr:uid="{00000000-0005-0000-0000-000002000000}"/>
    <cellStyle name="Normal 3 4" xfId="5" xr:uid="{00000000-0005-0000-0000-000003000000}"/>
    <cellStyle name="Normal 5 2" xfId="3" xr:uid="{00000000-0005-0000-0000-000004000000}"/>
    <cellStyle name="TextNormal" xfId="4" xr:uid="{00000000-0005-0000-0000-000006000000}"/>
  </cellStyles>
  <dxfs count="0"/>
  <tableStyles count="0" defaultTableStyle="TableStyleMedium9" defaultPivotStyle="PivotStyleLight16"/>
  <colors>
    <mruColors>
      <color rgb="FF0000FF"/>
      <color rgb="FFB2B2B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N43"/>
  <sheetViews>
    <sheetView showGridLines="0" tabSelected="1" zoomScale="110" zoomScaleNormal="70" workbookViewId="0">
      <selection activeCell="J10" sqref="J10"/>
    </sheetView>
  </sheetViews>
  <sheetFormatPr defaultColWidth="9.1796875" defaultRowHeight="15.5" outlineLevelCol="1" x14ac:dyDescent="0.35"/>
  <cols>
    <col min="1" max="1" width="2.453125" style="77" customWidth="1"/>
    <col min="2" max="2" width="30.453125" style="77" bestFit="1" customWidth="1"/>
    <col min="3" max="3" width="10.1796875" style="77" customWidth="1" outlineLevel="1"/>
    <col min="4" max="5" width="12.7265625" style="77" customWidth="1" outlineLevel="1"/>
    <col min="6" max="6" width="12.7265625" style="77" customWidth="1"/>
    <col min="7" max="10" width="12.7265625" style="77" customWidth="1" outlineLevel="1"/>
    <col min="11" max="25" width="12.7265625" style="77" customWidth="1"/>
    <col min="26" max="26" width="2.453125" style="77" customWidth="1"/>
    <col min="27" max="27" width="2.7265625" style="77" customWidth="1"/>
    <col min="28" max="36" width="12.26953125" style="77" customWidth="1"/>
    <col min="37" max="16384" width="9.1796875" style="77"/>
  </cols>
  <sheetData>
    <row r="1" spans="1:40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</row>
    <row r="2" spans="1:40" ht="18" customHeight="1" x14ac:dyDescent="0.45">
      <c r="A2" s="3"/>
      <c r="B2" s="1" t="s">
        <v>0</v>
      </c>
      <c r="C2" s="33"/>
      <c r="D2" s="33"/>
      <c r="E2" s="3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</row>
    <row r="3" spans="1:40" x14ac:dyDescent="0.35">
      <c r="A3" s="3"/>
      <c r="B3" s="3" t="s">
        <v>1</v>
      </c>
      <c r="C3" s="3"/>
      <c r="D3" s="33"/>
      <c r="E3" s="3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</row>
    <row r="4" spans="1:40" x14ac:dyDescent="0.35">
      <c r="A4" s="3"/>
      <c r="B4" s="75"/>
      <c r="C4" s="3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3"/>
      <c r="V4" s="3"/>
      <c r="W4" s="3"/>
      <c r="X4" s="3"/>
      <c r="Y4" s="3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</row>
    <row r="5" spans="1:40" x14ac:dyDescent="0.35">
      <c r="A5" s="3"/>
      <c r="B5" s="47" t="s">
        <v>2</v>
      </c>
      <c r="C5" s="48"/>
      <c r="D5" s="48"/>
      <c r="E5" s="48"/>
      <c r="F5" s="6" t="s">
        <v>3</v>
      </c>
      <c r="G5" s="6"/>
      <c r="H5" s="6"/>
      <c r="I5" s="6"/>
      <c r="J5" s="6"/>
      <c r="K5" s="10"/>
      <c r="L5" s="4"/>
      <c r="M5" s="4"/>
      <c r="N5" s="4"/>
      <c r="O5" s="4"/>
      <c r="P5" s="4"/>
      <c r="Q5" s="4"/>
      <c r="R5" s="4"/>
      <c r="S5" s="4"/>
      <c r="T5" s="4"/>
      <c r="U5" s="5" t="s">
        <v>4</v>
      </c>
      <c r="V5" s="5" t="s">
        <v>4</v>
      </c>
      <c r="W5" s="6"/>
      <c r="X5" s="6"/>
      <c r="Y5" s="11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</row>
    <row r="6" spans="1:40" x14ac:dyDescent="0.35">
      <c r="A6" s="3"/>
      <c r="B6" s="4"/>
      <c r="C6" s="4"/>
      <c r="D6" s="5" t="s">
        <v>5</v>
      </c>
      <c r="E6" s="5" t="s">
        <v>6</v>
      </c>
      <c r="F6" s="5" t="s">
        <v>7</v>
      </c>
      <c r="G6" s="5"/>
      <c r="H6" s="5"/>
      <c r="I6" s="5" t="s">
        <v>8</v>
      </c>
      <c r="J6" s="5" t="s">
        <v>9</v>
      </c>
      <c r="K6" s="5" t="s">
        <v>10</v>
      </c>
      <c r="L6" s="6" t="s">
        <v>11</v>
      </c>
      <c r="M6" s="6"/>
      <c r="N6" s="6"/>
      <c r="O6" s="6" t="s">
        <v>12</v>
      </c>
      <c r="P6" s="6"/>
      <c r="Q6" s="6"/>
      <c r="R6" s="6" t="s">
        <v>13</v>
      </c>
      <c r="S6" s="6"/>
      <c r="T6" s="6"/>
      <c r="U6" s="5" t="s">
        <v>11</v>
      </c>
      <c r="V6" s="5" t="s">
        <v>12</v>
      </c>
      <c r="W6" s="6" t="s">
        <v>14</v>
      </c>
      <c r="X6" s="6"/>
      <c r="Y6" s="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</row>
    <row r="7" spans="1:40" x14ac:dyDescent="0.35">
      <c r="A7" s="3"/>
      <c r="B7" s="7" t="s">
        <v>15</v>
      </c>
      <c r="C7" s="7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8" t="s">
        <v>21</v>
      </c>
      <c r="I7" s="8" t="s">
        <v>22</v>
      </c>
      <c r="J7" s="8" t="s">
        <v>23</v>
      </c>
      <c r="K7" s="8" t="s">
        <v>19</v>
      </c>
      <c r="L7" s="9" t="s">
        <v>24</v>
      </c>
      <c r="M7" s="74">
        <f>EOMONTH("12/31/2016",12)</f>
        <v>43100</v>
      </c>
      <c r="N7" s="74">
        <f>EOMONTH(M7,12)</f>
        <v>43465</v>
      </c>
      <c r="O7" s="9" t="str">
        <f>$L$7</f>
        <v>LTM</v>
      </c>
      <c r="P7" s="74">
        <f>+$M$7</f>
        <v>43100</v>
      </c>
      <c r="Q7" s="74">
        <f>+$N$7</f>
        <v>43465</v>
      </c>
      <c r="R7" s="9" t="str">
        <f>$L$7</f>
        <v>LTM</v>
      </c>
      <c r="S7" s="74">
        <f>+$M$7</f>
        <v>43100</v>
      </c>
      <c r="T7" s="74">
        <f>+$N$7</f>
        <v>43465</v>
      </c>
      <c r="U7" s="8" t="s">
        <v>25</v>
      </c>
      <c r="V7" s="8" t="s">
        <v>25</v>
      </c>
      <c r="W7" s="9" t="str">
        <f>$L$7</f>
        <v>LTM</v>
      </c>
      <c r="X7" s="74">
        <f>+$M$7</f>
        <v>43100</v>
      </c>
      <c r="Y7" s="74">
        <f>+$N$7</f>
        <v>43465</v>
      </c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</row>
    <row r="8" spans="1:40" x14ac:dyDescent="0.35">
      <c r="A8" s="3"/>
      <c r="B8" s="3" t="s">
        <v>26</v>
      </c>
      <c r="C8" s="3" t="s">
        <v>27</v>
      </c>
      <c r="D8" s="12">
        <v>18.899999999999999</v>
      </c>
      <c r="E8" s="13">
        <v>165.61422300000001</v>
      </c>
      <c r="F8" s="46">
        <f>+D8*E8</f>
        <v>3130.1088147</v>
      </c>
      <c r="G8" s="14">
        <v>-820</v>
      </c>
      <c r="H8" s="14">
        <v>3140</v>
      </c>
      <c r="I8" s="14">
        <v>0</v>
      </c>
      <c r="J8" s="14">
        <v>1</v>
      </c>
      <c r="K8" s="46">
        <f>+F8+G8+H8+I8+J8</f>
        <v>5451.1088147</v>
      </c>
      <c r="L8" s="14">
        <v>10327</v>
      </c>
      <c r="M8" s="14">
        <v>10545.15</v>
      </c>
      <c r="N8" s="14">
        <v>11231.27</v>
      </c>
      <c r="O8" s="14">
        <v>-128</v>
      </c>
      <c r="P8" s="14">
        <v>675</v>
      </c>
      <c r="Q8" s="14">
        <v>921.38</v>
      </c>
      <c r="R8" s="14">
        <v>-1692</v>
      </c>
      <c r="S8" s="14">
        <v>-74.89</v>
      </c>
      <c r="T8" s="14">
        <v>333.75</v>
      </c>
      <c r="U8" s="25">
        <f>IFERROR(+N8/M8-1,"N/A")</f>
        <v>6.5064982480097511E-2</v>
      </c>
      <c r="V8" s="25">
        <f>IFERROR(+Q8/P8-1,"N/A")</f>
        <v>0.36500740740740745</v>
      </c>
      <c r="W8" s="25">
        <f t="shared" ref="W8:Y13" si="0">O8/L8</f>
        <v>-1.2394693521835963E-2</v>
      </c>
      <c r="X8" s="25">
        <f>P8/M8</f>
        <v>6.4010469267862483E-2</v>
      </c>
      <c r="Y8" s="25">
        <f t="shared" si="0"/>
        <v>8.2037026979139491E-2</v>
      </c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3"/>
    </row>
    <row r="9" spans="1:40" x14ac:dyDescent="0.35">
      <c r="A9" s="3"/>
      <c r="B9" s="3" t="s">
        <v>28</v>
      </c>
      <c r="C9" s="3" t="s">
        <v>29</v>
      </c>
      <c r="D9" s="15">
        <v>49.03</v>
      </c>
      <c r="E9" s="13">
        <v>318.35566499999999</v>
      </c>
      <c r="F9" s="50">
        <f>+D9*E9</f>
        <v>15608.97825495</v>
      </c>
      <c r="G9" s="13">
        <v>-2331.15</v>
      </c>
      <c r="H9" s="13">
        <v>4357.5119999999997</v>
      </c>
      <c r="I9" s="13">
        <v>0</v>
      </c>
      <c r="J9" s="13">
        <v>346.94600000000003</v>
      </c>
      <c r="K9" s="50">
        <f t="shared" ref="K9:K13" si="1">+F9+G9+H9+I9+J9</f>
        <v>17982.286254949999</v>
      </c>
      <c r="L9" s="13">
        <v>15643.6</v>
      </c>
      <c r="M9" s="13">
        <v>16684.82</v>
      </c>
      <c r="N9" s="13">
        <v>16937.09</v>
      </c>
      <c r="O9" s="13">
        <v>1972.9</v>
      </c>
      <c r="P9" s="13">
        <v>2291.4</v>
      </c>
      <c r="Q9" s="13">
        <v>2539.62</v>
      </c>
      <c r="R9" s="13">
        <v>469.6</v>
      </c>
      <c r="S9" s="13">
        <v>818.31</v>
      </c>
      <c r="T9" s="13">
        <v>1000.96</v>
      </c>
      <c r="U9" s="25">
        <f t="shared" ref="U9:U13" si="2">IFERROR(+N9/M9-1,"N/A")</f>
        <v>1.5119731588354002E-2</v>
      </c>
      <c r="V9" s="25">
        <f t="shared" ref="V9:V13" si="3">IFERROR(+Q9/P9-1,"N/A")</f>
        <v>0.10832678711704635</v>
      </c>
      <c r="W9" s="25">
        <f t="shared" si="0"/>
        <v>0.1261154721419622</v>
      </c>
      <c r="X9" s="25">
        <f t="shared" si="0"/>
        <v>0.13733441535479557</v>
      </c>
      <c r="Y9" s="25">
        <f t="shared" si="0"/>
        <v>0.14994429385449329</v>
      </c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3"/>
    </row>
    <row r="10" spans="1:40" x14ac:dyDescent="0.35">
      <c r="A10" s="3"/>
      <c r="B10" s="3" t="s">
        <v>30</v>
      </c>
      <c r="C10" s="3" t="s">
        <v>31</v>
      </c>
      <c r="D10" s="15">
        <v>15.5</v>
      </c>
      <c r="E10" s="13">
        <v>114.62858799999999</v>
      </c>
      <c r="F10" s="50">
        <f t="shared" ref="F10:F13" si="4">+D10*E10</f>
        <v>1776.7431139999999</v>
      </c>
      <c r="G10" s="13">
        <v>-483.85500000000002</v>
      </c>
      <c r="H10" s="13">
        <v>1079.95</v>
      </c>
      <c r="I10" s="13">
        <v>0</v>
      </c>
      <c r="J10" s="13">
        <v>0.16</v>
      </c>
      <c r="K10" s="50">
        <f t="shared" si="1"/>
        <v>2372.998114</v>
      </c>
      <c r="L10" s="13">
        <v>4813.3999999999996</v>
      </c>
      <c r="M10" s="13">
        <v>4683.9466666666667</v>
      </c>
      <c r="N10" s="13">
        <v>4780.1033333333326</v>
      </c>
      <c r="O10" s="13">
        <v>431.9</v>
      </c>
      <c r="P10" s="13">
        <v>367.42999999999995</v>
      </c>
      <c r="Q10" s="13">
        <v>423.11333333333334</v>
      </c>
      <c r="R10" s="13">
        <v>129.4</v>
      </c>
      <c r="S10" s="13">
        <v>127.40666666666665</v>
      </c>
      <c r="T10" s="13">
        <v>171.48666666666665</v>
      </c>
      <c r="U10" s="25">
        <f t="shared" si="2"/>
        <v>2.0528984104572601E-2</v>
      </c>
      <c r="V10" s="25">
        <f t="shared" si="3"/>
        <v>0.15154814068892963</v>
      </c>
      <c r="W10" s="25">
        <f t="shared" si="0"/>
        <v>8.9728674118087007E-2</v>
      </c>
      <c r="X10" s="25">
        <f t="shared" si="0"/>
        <v>7.8444531107669871E-2</v>
      </c>
      <c r="Y10" s="25">
        <f t="shared" si="0"/>
        <v>8.85155202363129E-2</v>
      </c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3"/>
    </row>
    <row r="11" spans="1:40" x14ac:dyDescent="0.35">
      <c r="A11" s="3"/>
      <c r="B11" s="3" t="s">
        <v>32</v>
      </c>
      <c r="C11" s="3" t="s">
        <v>33</v>
      </c>
      <c r="D11" s="15">
        <v>4.3499999999999996</v>
      </c>
      <c r="E11" s="13">
        <v>238.196189</v>
      </c>
      <c r="F11" s="50">
        <f t="shared" si="4"/>
        <v>1036.1534221499999</v>
      </c>
      <c r="G11" s="13">
        <v>-56.2</v>
      </c>
      <c r="H11" s="13">
        <v>2078.1</v>
      </c>
      <c r="I11" s="13">
        <v>0</v>
      </c>
      <c r="J11" s="13">
        <v>379.6</v>
      </c>
      <c r="K11" s="50">
        <f t="shared" si="1"/>
        <v>3437.6534221499996</v>
      </c>
      <c r="L11" s="13">
        <v>6263.6</v>
      </c>
      <c r="M11" s="13">
        <v>5991.83</v>
      </c>
      <c r="N11" s="13">
        <v>6108.22</v>
      </c>
      <c r="O11" s="13">
        <v>547.20000000000005</v>
      </c>
      <c r="P11" s="13">
        <v>469.23</v>
      </c>
      <c r="Q11" s="13">
        <v>580.9</v>
      </c>
      <c r="R11" s="13">
        <v>-135</v>
      </c>
      <c r="S11" s="13">
        <v>57.29</v>
      </c>
      <c r="T11" s="13">
        <v>128.85</v>
      </c>
      <c r="U11" s="25">
        <f t="shared" si="2"/>
        <v>1.9424783413414692E-2</v>
      </c>
      <c r="V11" s="25">
        <f t="shared" si="3"/>
        <v>0.23798563604202627</v>
      </c>
      <c r="W11" s="25">
        <f t="shared" si="0"/>
        <v>8.736190050450221E-2</v>
      </c>
      <c r="X11" s="25">
        <f t="shared" si="0"/>
        <v>7.8311634342095829E-2</v>
      </c>
      <c r="Y11" s="25">
        <f t="shared" si="0"/>
        <v>9.5101355222961842E-2</v>
      </c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3"/>
    </row>
    <row r="12" spans="1:40" x14ac:dyDescent="0.35">
      <c r="A12" s="3"/>
      <c r="B12" s="3" t="s">
        <v>34</v>
      </c>
      <c r="C12" s="3" t="s">
        <v>35</v>
      </c>
      <c r="D12" s="15">
        <v>43.29</v>
      </c>
      <c r="E12" s="13">
        <v>63.115254</v>
      </c>
      <c r="F12" s="50">
        <f t="shared" si="4"/>
        <v>2732.2593456599998</v>
      </c>
      <c r="G12" s="13">
        <v>-84.188000000000002</v>
      </c>
      <c r="H12" s="13">
        <v>583.96</v>
      </c>
      <c r="I12" s="13">
        <v>0</v>
      </c>
      <c r="J12" s="13">
        <v>126.48</v>
      </c>
      <c r="K12" s="50">
        <f t="shared" si="1"/>
        <v>3358.5113456599997</v>
      </c>
      <c r="L12" s="13">
        <v>2819.7</v>
      </c>
      <c r="M12" s="13">
        <v>2891.3158333333331</v>
      </c>
      <c r="N12" s="13">
        <v>2971.38</v>
      </c>
      <c r="O12" s="13">
        <v>239.9</v>
      </c>
      <c r="P12" s="13">
        <v>281.52666666666664</v>
      </c>
      <c r="Q12" s="13">
        <v>324.07000000000005</v>
      </c>
      <c r="R12" s="13">
        <v>143.69999999999999</v>
      </c>
      <c r="S12" s="13">
        <v>177.35250000000002</v>
      </c>
      <c r="T12" s="13">
        <v>220.33083333333335</v>
      </c>
      <c r="U12" s="25">
        <f t="shared" si="2"/>
        <v>2.7691255913181445E-2</v>
      </c>
      <c r="V12" s="25">
        <f t="shared" si="3"/>
        <v>0.15111653129366109</v>
      </c>
      <c r="W12" s="25">
        <f t="shared" si="0"/>
        <v>8.5079973046778029E-2</v>
      </c>
      <c r="X12" s="25">
        <f t="shared" si="0"/>
        <v>9.7369738518707893E-2</v>
      </c>
      <c r="Y12" s="25">
        <f t="shared" si="0"/>
        <v>0.10906380200445585</v>
      </c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3"/>
    </row>
    <row r="13" spans="1:40" x14ac:dyDescent="0.35">
      <c r="A13" s="3"/>
      <c r="B13" s="3" t="s">
        <v>36</v>
      </c>
      <c r="C13" s="3" t="s">
        <v>37</v>
      </c>
      <c r="D13" s="15">
        <v>72.510000000000005</v>
      </c>
      <c r="E13" s="13">
        <v>72.529836000000003</v>
      </c>
      <c r="F13" s="50">
        <f t="shared" si="4"/>
        <v>5259.1384083600005</v>
      </c>
      <c r="G13" s="13">
        <v>-116.5</v>
      </c>
      <c r="H13" s="13">
        <v>2169.4</v>
      </c>
      <c r="I13" s="13">
        <v>0</v>
      </c>
      <c r="J13" s="13">
        <v>28.6</v>
      </c>
      <c r="K13" s="50">
        <f t="shared" si="1"/>
        <v>7340.6384083600005</v>
      </c>
      <c r="L13" s="13">
        <v>8679</v>
      </c>
      <c r="M13" s="13">
        <v>8890.36</v>
      </c>
      <c r="N13" s="13">
        <v>9303.56</v>
      </c>
      <c r="O13" s="13">
        <v>784.6</v>
      </c>
      <c r="P13" s="13">
        <v>850.74</v>
      </c>
      <c r="Q13" s="13">
        <v>928.7</v>
      </c>
      <c r="R13" s="13">
        <v>313.10000000000002</v>
      </c>
      <c r="S13" s="13">
        <v>390.23</v>
      </c>
      <c r="T13" s="13">
        <v>441.55</v>
      </c>
      <c r="U13" s="25">
        <f t="shared" si="2"/>
        <v>4.6477308005524964E-2</v>
      </c>
      <c r="V13" s="25">
        <f t="shared" si="3"/>
        <v>9.1637868208853446E-2</v>
      </c>
      <c r="W13" s="25">
        <f t="shared" si="0"/>
        <v>9.0402120059914742E-2</v>
      </c>
      <c r="X13" s="25">
        <f t="shared" si="0"/>
        <v>9.5692412905664104E-2</v>
      </c>
      <c r="Y13" s="25">
        <f t="shared" si="0"/>
        <v>9.9822003620119615E-2</v>
      </c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3"/>
    </row>
    <row r="14" spans="1:40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3"/>
    </row>
    <row r="15" spans="1:40" x14ac:dyDescent="0.35">
      <c r="A15" s="3"/>
      <c r="B15" s="16" t="s">
        <v>38</v>
      </c>
      <c r="C15" s="17"/>
      <c r="D15" s="18">
        <f>MAX(D8:D13)</f>
        <v>72.510000000000005</v>
      </c>
      <c r="E15" s="18"/>
      <c r="F15" s="19">
        <f>MAX(F8:F13)</f>
        <v>15608.97825495</v>
      </c>
      <c r="G15" s="19"/>
      <c r="H15" s="19"/>
      <c r="I15" s="19"/>
      <c r="J15" s="19"/>
      <c r="K15" s="19">
        <f t="shared" ref="K15:Y15" si="5">MAX(K8:K13)</f>
        <v>17982.286254949999</v>
      </c>
      <c r="L15" s="19">
        <f t="shared" si="5"/>
        <v>15643.6</v>
      </c>
      <c r="M15" s="19">
        <f t="shared" si="5"/>
        <v>16684.82</v>
      </c>
      <c r="N15" s="19">
        <f t="shared" si="5"/>
        <v>16937.09</v>
      </c>
      <c r="O15" s="19">
        <f t="shared" si="5"/>
        <v>1972.9</v>
      </c>
      <c r="P15" s="19">
        <f t="shared" si="5"/>
        <v>2291.4</v>
      </c>
      <c r="Q15" s="19">
        <f t="shared" si="5"/>
        <v>2539.62</v>
      </c>
      <c r="R15" s="19">
        <f t="shared" si="5"/>
        <v>469.6</v>
      </c>
      <c r="S15" s="19">
        <f t="shared" si="5"/>
        <v>818.31</v>
      </c>
      <c r="T15" s="19">
        <f t="shared" si="5"/>
        <v>1000.96</v>
      </c>
      <c r="U15" s="20">
        <f t="shared" si="5"/>
        <v>6.5064982480097511E-2</v>
      </c>
      <c r="V15" s="20">
        <f t="shared" si="5"/>
        <v>0.36500740740740745</v>
      </c>
      <c r="W15" s="20">
        <f t="shared" si="5"/>
        <v>0.1261154721419622</v>
      </c>
      <c r="X15" s="20">
        <f t="shared" si="5"/>
        <v>0.13733441535479557</v>
      </c>
      <c r="Y15" s="21">
        <f t="shared" si="5"/>
        <v>0.14994429385449329</v>
      </c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3"/>
    </row>
    <row r="16" spans="1:40" x14ac:dyDescent="0.35">
      <c r="A16" s="3"/>
      <c r="B16" s="22" t="s">
        <v>39</v>
      </c>
      <c r="C16" s="3"/>
      <c r="D16" s="23">
        <f>QUARTILE(D8:D13,3)</f>
        <v>47.594999999999999</v>
      </c>
      <c r="E16" s="23"/>
      <c r="F16" s="24">
        <f>QUARTILE(F8:F13,3)</f>
        <v>4726.8810099450002</v>
      </c>
      <c r="G16" s="24"/>
      <c r="H16" s="24"/>
      <c r="I16" s="24"/>
      <c r="J16" s="24"/>
      <c r="K16" s="24">
        <f t="shared" ref="K16:Y16" si="6">QUARTILE(K8:K13,3)</f>
        <v>6868.2560099450002</v>
      </c>
      <c r="L16" s="24">
        <f t="shared" si="6"/>
        <v>9915</v>
      </c>
      <c r="M16" s="24">
        <f t="shared" si="6"/>
        <v>10131.452499999999</v>
      </c>
      <c r="N16" s="24">
        <f t="shared" si="6"/>
        <v>10749.342500000001</v>
      </c>
      <c r="O16" s="24">
        <f t="shared" si="6"/>
        <v>725.25</v>
      </c>
      <c r="P16" s="24">
        <f t="shared" si="6"/>
        <v>806.80500000000006</v>
      </c>
      <c r="Q16" s="24">
        <f t="shared" si="6"/>
        <v>926.87</v>
      </c>
      <c r="R16" s="24">
        <f t="shared" si="6"/>
        <v>270.75</v>
      </c>
      <c r="S16" s="24">
        <f t="shared" si="6"/>
        <v>337.010625</v>
      </c>
      <c r="T16" s="24">
        <f t="shared" si="6"/>
        <v>414.6</v>
      </c>
      <c r="U16" s="25">
        <f t="shared" si="6"/>
        <v>4.1780794982439085E-2</v>
      </c>
      <c r="V16" s="25">
        <f t="shared" si="6"/>
        <v>0.21637626220375211</v>
      </c>
      <c r="W16" s="25">
        <f t="shared" si="6"/>
        <v>9.0233758574457812E-2</v>
      </c>
      <c r="X16" s="25">
        <f t="shared" si="6"/>
        <v>9.6950407115446946E-2</v>
      </c>
      <c r="Y16" s="26">
        <f t="shared" si="6"/>
        <v>0.10675335240837179</v>
      </c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3"/>
    </row>
    <row r="17" spans="1:40" x14ac:dyDescent="0.35">
      <c r="A17" s="3"/>
      <c r="B17" s="27" t="s">
        <v>40</v>
      </c>
      <c r="C17" s="28"/>
      <c r="D17" s="29">
        <f>MEDIAN(D8:D13)</f>
        <v>31.094999999999999</v>
      </c>
      <c r="E17" s="29"/>
      <c r="F17" s="30">
        <f>MEDIAN(F8:F13)</f>
        <v>2931.1840801799999</v>
      </c>
      <c r="G17" s="30"/>
      <c r="H17" s="30"/>
      <c r="I17" s="30"/>
      <c r="J17" s="30"/>
      <c r="K17" s="30">
        <f t="shared" ref="K17:Y17" si="7">MEDIAN(K8:K13)</f>
        <v>4444.3811184249998</v>
      </c>
      <c r="L17" s="30">
        <f t="shared" si="7"/>
        <v>7471.3</v>
      </c>
      <c r="M17" s="30">
        <f t="shared" si="7"/>
        <v>7441.0950000000003</v>
      </c>
      <c r="N17" s="30">
        <f t="shared" si="7"/>
        <v>7705.8899999999994</v>
      </c>
      <c r="O17" s="30">
        <f t="shared" si="7"/>
        <v>489.55</v>
      </c>
      <c r="P17" s="30">
        <f t="shared" si="7"/>
        <v>572.11500000000001</v>
      </c>
      <c r="Q17" s="30">
        <f t="shared" si="7"/>
        <v>751.14</v>
      </c>
      <c r="R17" s="30">
        <f t="shared" si="7"/>
        <v>136.55000000000001</v>
      </c>
      <c r="S17" s="30">
        <f t="shared" si="7"/>
        <v>152.37958333333333</v>
      </c>
      <c r="T17" s="30">
        <f t="shared" si="7"/>
        <v>277.04041666666666</v>
      </c>
      <c r="U17" s="31">
        <f t="shared" si="7"/>
        <v>2.4110120008877023E-2</v>
      </c>
      <c r="V17" s="31">
        <f t="shared" si="7"/>
        <v>0.15133233599129536</v>
      </c>
      <c r="W17" s="31">
        <f t="shared" si="7"/>
        <v>8.8545287311294602E-2</v>
      </c>
      <c r="X17" s="31">
        <f t="shared" si="7"/>
        <v>8.706847200666698E-2</v>
      </c>
      <c r="Y17" s="32">
        <f t="shared" si="7"/>
        <v>9.7461679421540728E-2</v>
      </c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3"/>
    </row>
    <row r="18" spans="1:40" x14ac:dyDescent="0.35">
      <c r="A18" s="3"/>
      <c r="B18" s="22" t="s">
        <v>41</v>
      </c>
      <c r="C18" s="33"/>
      <c r="D18" s="23">
        <f>QUARTILE(D8:D13,1)</f>
        <v>16.350000000000001</v>
      </c>
      <c r="E18" s="23"/>
      <c r="F18" s="24">
        <f>QUARTILE(F8:F13,1)</f>
        <v>2015.6221719149999</v>
      </c>
      <c r="G18" s="24"/>
      <c r="H18" s="24"/>
      <c r="I18" s="24"/>
      <c r="J18" s="24"/>
      <c r="K18" s="24">
        <f t="shared" ref="K18:Y18" si="8">QUARTILE(K8:K13,1)</f>
        <v>3378.2968647824996</v>
      </c>
      <c r="L18" s="24">
        <f t="shared" si="8"/>
        <v>5175.95</v>
      </c>
      <c r="M18" s="24">
        <f t="shared" si="8"/>
        <v>5010.9174999999996</v>
      </c>
      <c r="N18" s="24">
        <f t="shared" si="8"/>
        <v>5112.1324999999997</v>
      </c>
      <c r="O18" s="24">
        <f t="shared" si="8"/>
        <v>287.89999999999998</v>
      </c>
      <c r="P18" s="24">
        <f t="shared" si="8"/>
        <v>392.88</v>
      </c>
      <c r="Q18" s="24">
        <f t="shared" si="8"/>
        <v>462.56</v>
      </c>
      <c r="R18" s="24">
        <f t="shared" si="8"/>
        <v>-68.900000000000006</v>
      </c>
      <c r="S18" s="24">
        <f t="shared" si="8"/>
        <v>74.819166666666661</v>
      </c>
      <c r="T18" s="24">
        <f t="shared" si="8"/>
        <v>183.69770833333331</v>
      </c>
      <c r="U18" s="25">
        <f t="shared" si="8"/>
        <v>1.9700833586204169E-2</v>
      </c>
      <c r="V18" s="25">
        <f t="shared" si="8"/>
        <v>0.11902422316120004</v>
      </c>
      <c r="W18" s="25">
        <f t="shared" si="8"/>
        <v>8.5650454911209067E-2</v>
      </c>
      <c r="X18" s="25">
        <f t="shared" si="8"/>
        <v>7.8344858533489339E-2</v>
      </c>
      <c r="Y18" s="26">
        <f t="shared" si="8"/>
        <v>9.0161978982975136E-2</v>
      </c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3"/>
    </row>
    <row r="19" spans="1:40" x14ac:dyDescent="0.35">
      <c r="A19" s="3"/>
      <c r="B19" s="34" t="s">
        <v>42</v>
      </c>
      <c r="C19" s="35"/>
      <c r="D19" s="36">
        <f>MIN(D8:D13)</f>
        <v>4.3499999999999996</v>
      </c>
      <c r="E19" s="36"/>
      <c r="F19" s="37">
        <f>MIN(F8:F13)</f>
        <v>1036.1534221499999</v>
      </c>
      <c r="G19" s="37"/>
      <c r="H19" s="37"/>
      <c r="I19" s="37"/>
      <c r="J19" s="37"/>
      <c r="K19" s="37">
        <f t="shared" ref="K19:Y19" si="9">MIN(K8:K13)</f>
        <v>2372.998114</v>
      </c>
      <c r="L19" s="37">
        <f t="shared" si="9"/>
        <v>2819.7</v>
      </c>
      <c r="M19" s="37">
        <f t="shared" si="9"/>
        <v>2891.3158333333331</v>
      </c>
      <c r="N19" s="37">
        <f t="shared" si="9"/>
        <v>2971.38</v>
      </c>
      <c r="O19" s="37">
        <f t="shared" si="9"/>
        <v>-128</v>
      </c>
      <c r="P19" s="37">
        <f t="shared" si="9"/>
        <v>281.52666666666664</v>
      </c>
      <c r="Q19" s="37">
        <f t="shared" si="9"/>
        <v>324.07000000000005</v>
      </c>
      <c r="R19" s="37">
        <f t="shared" si="9"/>
        <v>-1692</v>
      </c>
      <c r="S19" s="37">
        <f t="shared" si="9"/>
        <v>-74.89</v>
      </c>
      <c r="T19" s="37">
        <f t="shared" si="9"/>
        <v>128.85</v>
      </c>
      <c r="U19" s="38">
        <f t="shared" si="9"/>
        <v>1.5119731588354002E-2</v>
      </c>
      <c r="V19" s="38">
        <f t="shared" si="9"/>
        <v>9.1637868208853446E-2</v>
      </c>
      <c r="W19" s="38">
        <f t="shared" si="9"/>
        <v>-1.2394693521835963E-2</v>
      </c>
      <c r="X19" s="38">
        <f t="shared" si="9"/>
        <v>6.4010469267862483E-2</v>
      </c>
      <c r="Y19" s="39">
        <f t="shared" si="9"/>
        <v>8.2037026979139491E-2</v>
      </c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3"/>
    </row>
    <row r="20" spans="1:40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3"/>
    </row>
    <row r="21" spans="1:40" x14ac:dyDescent="0.35">
      <c r="A21" s="3"/>
      <c r="B21" s="40" t="s">
        <v>43</v>
      </c>
      <c r="C21" s="41" t="s">
        <v>44</v>
      </c>
      <c r="D21" s="42">
        <v>24.97</v>
      </c>
      <c r="E21" s="43">
        <f>Diluted_Shares</f>
        <v>242.017</v>
      </c>
      <c r="F21" s="44">
        <f t="shared" ref="F21" si="10">+D21*E21</f>
        <v>6043.1644899999992</v>
      </c>
      <c r="G21" s="44">
        <f>-ValSum!E23-ValSum!E24-ValSum!E25-ValSum!E26</f>
        <v>-1133.3689999999999</v>
      </c>
      <c r="H21" s="44">
        <f>-ValSum!E27</f>
        <v>2700</v>
      </c>
      <c r="I21" s="44">
        <f>-ValSum!E28</f>
        <v>0</v>
      </c>
      <c r="J21" s="44">
        <f>-ValSum!E29-ValSum!E30-ValSum!E31-ValSum!E32</f>
        <v>-11.230999999999995</v>
      </c>
      <c r="K21" s="44">
        <f t="shared" ref="K21" si="11">+F21+G21+H21+I21+J21</f>
        <v>7598.5644899999998</v>
      </c>
      <c r="L21" s="44">
        <v>7307.2</v>
      </c>
      <c r="M21" s="44">
        <v>7716.0163775469155</v>
      </c>
      <c r="N21" s="44">
        <v>8406.1512406317233</v>
      </c>
      <c r="O21" s="44">
        <v>862.8</v>
      </c>
      <c r="P21" s="44">
        <v>626.35222174379942</v>
      </c>
      <c r="Q21" s="44">
        <v>730.23721367378289</v>
      </c>
      <c r="R21" s="44">
        <v>12.1</v>
      </c>
      <c r="S21" s="44">
        <v>170.74786394803417</v>
      </c>
      <c r="T21" s="44">
        <v>205.77268399210544</v>
      </c>
      <c r="U21" s="61">
        <f>IFERROR(+N21/M21-1,"N/A")</f>
        <v>8.9441860840660414E-2</v>
      </c>
      <c r="V21" s="61">
        <f>IFERROR(+Q21/P21-1,"N/A")</f>
        <v>0.16585714606513546</v>
      </c>
      <c r="W21" s="61">
        <f>O21/L21</f>
        <v>0.11807532296912633</v>
      </c>
      <c r="X21" s="61">
        <f>P21/M21</f>
        <v>8.1175595164162936E-2</v>
      </c>
      <c r="Y21" s="61">
        <f>Q21/N21</f>
        <v>8.6869387995796452E-2</v>
      </c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3"/>
    </row>
    <row r="22" spans="1:40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3"/>
    </row>
    <row r="23" spans="1:40" x14ac:dyDescent="0.35">
      <c r="A23" s="3"/>
      <c r="B23" s="48" t="s">
        <v>45</v>
      </c>
      <c r="C23" s="48"/>
      <c r="D23" s="48"/>
      <c r="E23" s="48"/>
      <c r="F23" s="6" t="s">
        <v>3</v>
      </c>
      <c r="G23" s="6"/>
      <c r="H23" s="6"/>
      <c r="I23" s="6"/>
      <c r="J23" s="6"/>
      <c r="K23" s="10"/>
      <c r="L23" s="6" t="s">
        <v>46</v>
      </c>
      <c r="M23" s="10"/>
      <c r="N23" s="10"/>
      <c r="O23" s="6" t="s">
        <v>46</v>
      </c>
      <c r="P23" s="10"/>
      <c r="Q23" s="10"/>
      <c r="R23" s="4"/>
      <c r="S23" s="4"/>
      <c r="T23" s="4"/>
      <c r="U23" s="3"/>
      <c r="V23" s="3"/>
      <c r="W23" s="3"/>
      <c r="X23" s="3"/>
      <c r="Y23" s="3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3"/>
    </row>
    <row r="24" spans="1:40" x14ac:dyDescent="0.35">
      <c r="A24" s="3"/>
      <c r="B24" s="4"/>
      <c r="C24" s="4"/>
      <c r="D24" s="5"/>
      <c r="E24" s="5"/>
      <c r="F24" s="5" t="s">
        <v>7</v>
      </c>
      <c r="G24" s="5"/>
      <c r="H24" s="5"/>
      <c r="I24" s="5"/>
      <c r="J24" s="5"/>
      <c r="K24" s="5" t="s">
        <v>10</v>
      </c>
      <c r="L24" s="6" t="s">
        <v>11</v>
      </c>
      <c r="M24" s="10"/>
      <c r="N24" s="10"/>
      <c r="O24" s="6" t="s">
        <v>12</v>
      </c>
      <c r="P24" s="11"/>
      <c r="Q24" s="11"/>
      <c r="R24" s="6" t="s">
        <v>47</v>
      </c>
      <c r="S24" s="6"/>
      <c r="T24" s="6"/>
      <c r="U24" s="67"/>
      <c r="V24" s="67"/>
      <c r="W24" s="67"/>
      <c r="X24" s="67"/>
      <c r="Y24" s="3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3"/>
    </row>
    <row r="25" spans="1:40" x14ac:dyDescent="0.35">
      <c r="A25" s="3"/>
      <c r="B25" s="7" t="s">
        <v>15</v>
      </c>
      <c r="C25" s="7"/>
      <c r="D25" s="8"/>
      <c r="E25" s="8"/>
      <c r="F25" s="8" t="s">
        <v>19</v>
      </c>
      <c r="G25" s="8"/>
      <c r="H25" s="8"/>
      <c r="I25" s="8"/>
      <c r="J25" s="8"/>
      <c r="K25" s="8" t="s">
        <v>19</v>
      </c>
      <c r="L25" s="9" t="str">
        <f>$L$7</f>
        <v>LTM</v>
      </c>
      <c r="M25" s="74">
        <f>+$M$7</f>
        <v>43100</v>
      </c>
      <c r="N25" s="74">
        <f>+$N$7</f>
        <v>43465</v>
      </c>
      <c r="O25" s="9" t="str">
        <f>$L$7</f>
        <v>LTM</v>
      </c>
      <c r="P25" s="74">
        <f>+$M$7</f>
        <v>43100</v>
      </c>
      <c r="Q25" s="74">
        <f>+$N$7</f>
        <v>43465</v>
      </c>
      <c r="R25" s="9" t="str">
        <f>$L$7</f>
        <v>LTM</v>
      </c>
      <c r="S25" s="74">
        <f>+$M$7</f>
        <v>43100</v>
      </c>
      <c r="T25" s="74">
        <f>+$N$7</f>
        <v>43465</v>
      </c>
      <c r="U25" s="76"/>
      <c r="V25" s="76"/>
      <c r="W25" s="76"/>
      <c r="X25" s="76"/>
      <c r="Y25" s="3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3"/>
    </row>
    <row r="26" spans="1:40" x14ac:dyDescent="0.35">
      <c r="A26" s="3"/>
      <c r="B26" s="3" t="str">
        <f t="shared" ref="B26:C31" si="12">+B8</f>
        <v>United States Steel Corp.</v>
      </c>
      <c r="C26" s="3" t="str">
        <f t="shared" si="12"/>
        <v>X</v>
      </c>
      <c r="D26" s="12"/>
      <c r="E26" s="13"/>
      <c r="F26" s="46">
        <f>+F8</f>
        <v>3130.1088147</v>
      </c>
      <c r="G26" s="14"/>
      <c r="H26" s="14"/>
      <c r="I26" s="14"/>
      <c r="J26" s="14"/>
      <c r="K26" s="46">
        <f t="shared" ref="K26:K30" si="13">+K8</f>
        <v>5451.1088147</v>
      </c>
      <c r="L26" s="49">
        <f>IFERROR(IF(OR(+$K8/L8&lt;0,+$K8/L8&gt;=100),"NM",+$K8/L8),"N/A")</f>
        <v>0.52785018056550792</v>
      </c>
      <c r="M26" s="49">
        <f>IFERROR(IF(OR(+$K8/M8&lt;0,+$K8/M8&gt;=100),"NM",+$K8/M8),"N/A")</f>
        <v>0.51693041964315356</v>
      </c>
      <c r="N26" s="49">
        <f t="shared" ref="L26:Q31" si="14">IFERROR(IF(OR(+$K8/N8&lt;0,+$K8/N8&gt;=100),"NM",+$K8/N8),"N/A")</f>
        <v>0.48535106134034706</v>
      </c>
      <c r="O26" s="49" t="str">
        <f>IFERROR(IF(OR(+$K8/O8&lt;0,+$K8/O8&gt;=100),"NM",+$K8/O8),"N/A")</f>
        <v>NM</v>
      </c>
      <c r="P26" s="49">
        <f t="shared" si="14"/>
        <v>8.0757167625185193</v>
      </c>
      <c r="Q26" s="49">
        <f t="shared" si="14"/>
        <v>5.916243910981354</v>
      </c>
      <c r="R26" s="49" t="str">
        <f t="shared" ref="R26:T31" si="15">IFERROR(IF(OR(+$F8/R8&lt;0,+$F8/R8&gt;=100),"NM",+$F8/R8),"N/A")</f>
        <v>NM</v>
      </c>
      <c r="S26" s="49" t="str">
        <f t="shared" si="15"/>
        <v>NM</v>
      </c>
      <c r="T26" s="49">
        <f t="shared" si="15"/>
        <v>9.3786031901123597</v>
      </c>
      <c r="U26" s="3"/>
      <c r="V26" s="3"/>
      <c r="W26" s="3"/>
      <c r="X26" s="3"/>
      <c r="Y26" s="3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3"/>
    </row>
    <row r="27" spans="1:40" x14ac:dyDescent="0.35">
      <c r="A27" s="3"/>
      <c r="B27" s="3" t="str">
        <f t="shared" si="12"/>
        <v>Nucor Corporation</v>
      </c>
      <c r="C27" s="3" t="str">
        <f t="shared" si="12"/>
        <v>NUE</v>
      </c>
      <c r="D27" s="15"/>
      <c r="E27" s="13"/>
      <c r="F27" s="50">
        <f t="shared" ref="F27:F31" si="16">+F9</f>
        <v>15608.97825495</v>
      </c>
      <c r="G27" s="13"/>
      <c r="H27" s="13"/>
      <c r="I27" s="13"/>
      <c r="J27" s="13"/>
      <c r="K27" s="50">
        <f t="shared" si="13"/>
        <v>17982.286254949999</v>
      </c>
      <c r="L27" s="49">
        <f>IFERROR(IF(OR(+$K9/L9&lt;0,+$K9/L9&gt;=100),"NM",+$K9/L9),"N/A")</f>
        <v>1.149497957947659</v>
      </c>
      <c r="M27" s="49">
        <f>IFERROR(IF(OR(+$K9/M9&lt;0,+$K9/M9&gt;=100),"NM",+$K9/M9),"N/A")</f>
        <v>1.0777632755372848</v>
      </c>
      <c r="N27" s="49">
        <f t="shared" si="14"/>
        <v>1.0617104977862193</v>
      </c>
      <c r="O27" s="49">
        <f t="shared" si="14"/>
        <v>9.1146465887525974</v>
      </c>
      <c r="P27" s="49">
        <f>IFERROR(IF(OR(+$K9/P9&lt;0,+$K9/P9&gt;=100),"NM",+$K9/P9),"N/A")</f>
        <v>7.8477290106266899</v>
      </c>
      <c r="Q27" s="49">
        <f t="shared" si="14"/>
        <v>7.0806995751135995</v>
      </c>
      <c r="R27" s="49">
        <f t="shared" si="15"/>
        <v>33.238880440694203</v>
      </c>
      <c r="S27" s="49">
        <f>IFERROR(IF(OR(+$F9/S9&lt;0,+$F9/S9&gt;=100),"NM",+$F9/S9),"N/A")</f>
        <v>19.074651727279395</v>
      </c>
      <c r="T27" s="49">
        <f t="shared" si="15"/>
        <v>15.594008007263026</v>
      </c>
      <c r="U27" s="3"/>
      <c r="V27" s="3"/>
      <c r="W27" s="3"/>
      <c r="X27" s="3"/>
      <c r="Y27" s="3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3"/>
    </row>
    <row r="28" spans="1:40" x14ac:dyDescent="0.35">
      <c r="A28" s="3"/>
      <c r="B28" s="3" t="str">
        <f t="shared" si="12"/>
        <v>Commercial Metals Company</v>
      </c>
      <c r="C28" s="3" t="str">
        <f t="shared" si="12"/>
        <v>CMC</v>
      </c>
      <c r="D28" s="15"/>
      <c r="E28" s="13"/>
      <c r="F28" s="50">
        <f t="shared" si="16"/>
        <v>1776.7431139999999</v>
      </c>
      <c r="G28" s="13"/>
      <c r="H28" s="13"/>
      <c r="I28" s="13"/>
      <c r="J28" s="13"/>
      <c r="K28" s="50">
        <f t="shared" si="13"/>
        <v>2372.998114</v>
      </c>
      <c r="L28" s="49">
        <f t="shared" si="14"/>
        <v>0.49299832010636974</v>
      </c>
      <c r="M28" s="49">
        <f t="shared" si="14"/>
        <v>0.50662364088973399</v>
      </c>
      <c r="N28" s="49">
        <f t="shared" si="14"/>
        <v>0.49643238828170388</v>
      </c>
      <c r="O28" s="49">
        <f t="shared" si="14"/>
        <v>5.4943230238481133</v>
      </c>
      <c r="P28" s="49">
        <f t="shared" si="14"/>
        <v>6.4583678904825419</v>
      </c>
      <c r="Q28" s="49">
        <f t="shared" si="14"/>
        <v>5.6084219688972219</v>
      </c>
      <c r="R28" s="49">
        <f t="shared" si="15"/>
        <v>13.730626846986087</v>
      </c>
      <c r="S28" s="49">
        <f t="shared" si="15"/>
        <v>13.945448542724087</v>
      </c>
      <c r="T28" s="49">
        <f t="shared" si="15"/>
        <v>10.36082366364732</v>
      </c>
      <c r="U28" s="3"/>
      <c r="V28" s="3"/>
      <c r="W28" s="3"/>
      <c r="X28" s="3"/>
      <c r="Y28" s="3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3"/>
    </row>
    <row r="29" spans="1:40" x14ac:dyDescent="0.35">
      <c r="A29" s="3"/>
      <c r="B29" s="3" t="str">
        <f t="shared" si="12"/>
        <v>AK Steel Holding Corporation</v>
      </c>
      <c r="C29" s="3" t="str">
        <f t="shared" si="12"/>
        <v>AKS</v>
      </c>
      <c r="D29" s="15"/>
      <c r="E29" s="13"/>
      <c r="F29" s="50">
        <f t="shared" si="16"/>
        <v>1036.1534221499999</v>
      </c>
      <c r="G29" s="13"/>
      <c r="H29" s="13"/>
      <c r="I29" s="13"/>
      <c r="J29" s="13"/>
      <c r="K29" s="50">
        <f t="shared" si="13"/>
        <v>3437.6534221499996</v>
      </c>
      <c r="L29" s="49">
        <f t="shared" si="14"/>
        <v>0.54883029282680873</v>
      </c>
      <c r="M29" s="49">
        <f t="shared" si="14"/>
        <v>0.57372345713246198</v>
      </c>
      <c r="N29" s="49">
        <f t="shared" si="14"/>
        <v>0.56279135691739979</v>
      </c>
      <c r="O29" s="49">
        <f t="shared" si="14"/>
        <v>6.2822613708881567</v>
      </c>
      <c r="P29" s="49">
        <f t="shared" si="14"/>
        <v>7.3261586474649949</v>
      </c>
      <c r="Q29" s="49">
        <f t="shared" si="14"/>
        <v>5.9178058566878979</v>
      </c>
      <c r="R29" s="49" t="str">
        <f t="shared" si="15"/>
        <v>NM</v>
      </c>
      <c r="S29" s="49">
        <f t="shared" si="15"/>
        <v>18.086113146273345</v>
      </c>
      <c r="T29" s="49">
        <f t="shared" si="15"/>
        <v>8.0415477077997668</v>
      </c>
      <c r="U29" s="3"/>
      <c r="V29" s="3"/>
      <c r="W29" s="3"/>
      <c r="X29" s="3"/>
      <c r="Y29" s="3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3"/>
    </row>
    <row r="30" spans="1:40" x14ac:dyDescent="0.35">
      <c r="A30" s="3"/>
      <c r="B30" s="3" t="str">
        <f t="shared" si="12"/>
        <v>Worthington Industries, Inc.</v>
      </c>
      <c r="C30" s="3" t="str">
        <f t="shared" si="12"/>
        <v>WOR</v>
      </c>
      <c r="D30" s="15"/>
      <c r="E30" s="13"/>
      <c r="F30" s="50">
        <f t="shared" si="16"/>
        <v>2732.2593456599998</v>
      </c>
      <c r="G30" s="13"/>
      <c r="H30" s="13"/>
      <c r="I30" s="13"/>
      <c r="J30" s="13"/>
      <c r="K30" s="50">
        <f t="shared" si="13"/>
        <v>3358.5113456599997</v>
      </c>
      <c r="L30" s="49">
        <f t="shared" si="14"/>
        <v>1.1910881816008796</v>
      </c>
      <c r="M30" s="49">
        <f t="shared" si="14"/>
        <v>1.161585775908835</v>
      </c>
      <c r="N30" s="49">
        <f t="shared" si="14"/>
        <v>1.1302867171684536</v>
      </c>
      <c r="O30" s="49">
        <f t="shared" si="14"/>
        <v>13.999630452938723</v>
      </c>
      <c r="P30" s="49">
        <f t="shared" si="14"/>
        <v>11.929638443936632</v>
      </c>
      <c r="Q30" s="49">
        <f t="shared" si="14"/>
        <v>10.363536722498223</v>
      </c>
      <c r="R30" s="49">
        <f t="shared" si="15"/>
        <v>19.013634973277661</v>
      </c>
      <c r="S30" s="49">
        <f t="shared" si="15"/>
        <v>15.405812411214951</v>
      </c>
      <c r="T30" s="49">
        <f t="shared" si="15"/>
        <v>12.400712620763471</v>
      </c>
      <c r="U30" s="3"/>
      <c r="V30" s="3"/>
      <c r="W30" s="3"/>
      <c r="X30" s="3"/>
      <c r="Y30" s="3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3"/>
    </row>
    <row r="31" spans="1:40" x14ac:dyDescent="0.35">
      <c r="A31" s="3"/>
      <c r="B31" s="3" t="str">
        <f t="shared" si="12"/>
        <v>Reliance Steel &amp; Aluminum Co.</v>
      </c>
      <c r="C31" s="3" t="str">
        <f t="shared" si="12"/>
        <v>RS</v>
      </c>
      <c r="D31" s="15"/>
      <c r="E31" s="13"/>
      <c r="F31" s="50">
        <f t="shared" si="16"/>
        <v>5259.1384083600005</v>
      </c>
      <c r="G31" s="13"/>
      <c r="H31" s="13"/>
      <c r="I31" s="13"/>
      <c r="J31" s="13"/>
      <c r="K31" s="50">
        <f>+K13</f>
        <v>7340.6384083600005</v>
      </c>
      <c r="L31" s="49">
        <f t="shared" si="14"/>
        <v>0.84579311076852182</v>
      </c>
      <c r="M31" s="49">
        <f t="shared" si="14"/>
        <v>0.82568517004485753</v>
      </c>
      <c r="N31" s="49">
        <f t="shared" si="14"/>
        <v>0.78901392675062032</v>
      </c>
      <c r="O31" s="49">
        <f t="shared" si="14"/>
        <v>9.3558990674993634</v>
      </c>
      <c r="P31" s="49">
        <f t="shared" si="14"/>
        <v>8.6285332867386053</v>
      </c>
      <c r="Q31" s="49">
        <f t="shared" si="14"/>
        <v>7.9042084724453536</v>
      </c>
      <c r="R31" s="49">
        <f t="shared" si="15"/>
        <v>16.796992680804856</v>
      </c>
      <c r="S31" s="49">
        <f t="shared" si="15"/>
        <v>13.477022290341594</v>
      </c>
      <c r="T31" s="49">
        <f t="shared" si="15"/>
        <v>11.910629392730156</v>
      </c>
      <c r="U31" s="3"/>
      <c r="V31" s="3"/>
      <c r="W31" s="3"/>
      <c r="X31" s="3"/>
      <c r="Y31" s="3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3"/>
    </row>
    <row r="32" spans="1:40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3"/>
    </row>
    <row r="33" spans="1:40" x14ac:dyDescent="0.35">
      <c r="A33" s="3"/>
      <c r="B33" s="16" t="s">
        <v>38</v>
      </c>
      <c r="C33" s="17"/>
      <c r="D33" s="18"/>
      <c r="E33" s="18"/>
      <c r="F33" s="19">
        <f>MAX(F26:F31)</f>
        <v>15608.97825495</v>
      </c>
      <c r="G33" s="19"/>
      <c r="H33" s="19"/>
      <c r="I33" s="19"/>
      <c r="J33" s="19"/>
      <c r="K33" s="19">
        <f t="shared" ref="K33:T33" si="17">MAX(K26:K31)</f>
        <v>17982.286254949999</v>
      </c>
      <c r="L33" s="51">
        <f t="shared" si="17"/>
        <v>1.1910881816008796</v>
      </c>
      <c r="M33" s="51">
        <f t="shared" si="17"/>
        <v>1.161585775908835</v>
      </c>
      <c r="N33" s="51">
        <f t="shared" si="17"/>
        <v>1.1302867171684536</v>
      </c>
      <c r="O33" s="51">
        <f t="shared" si="17"/>
        <v>13.999630452938723</v>
      </c>
      <c r="P33" s="51">
        <f t="shared" si="17"/>
        <v>11.929638443936632</v>
      </c>
      <c r="Q33" s="51">
        <f t="shared" si="17"/>
        <v>10.363536722498223</v>
      </c>
      <c r="R33" s="51">
        <f t="shared" si="17"/>
        <v>33.238880440694203</v>
      </c>
      <c r="S33" s="51">
        <f t="shared" si="17"/>
        <v>19.074651727279395</v>
      </c>
      <c r="T33" s="52">
        <f t="shared" si="17"/>
        <v>15.594008007263026</v>
      </c>
      <c r="U33" s="3"/>
      <c r="V33" s="3"/>
      <c r="W33" s="3"/>
      <c r="X33" s="3"/>
      <c r="Y33" s="3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3"/>
    </row>
    <row r="34" spans="1:40" x14ac:dyDescent="0.35">
      <c r="A34" s="3"/>
      <c r="B34" s="22" t="s">
        <v>39</v>
      </c>
      <c r="C34" s="3"/>
      <c r="D34" s="23"/>
      <c r="E34" s="23"/>
      <c r="F34" s="24">
        <f>QUARTILE(F26:F31,3)</f>
        <v>4726.8810099450002</v>
      </c>
      <c r="G34" s="24"/>
      <c r="H34" s="24"/>
      <c r="I34" s="24"/>
      <c r="J34" s="24"/>
      <c r="K34" s="24">
        <f t="shared" ref="K34:T34" si="18">QUARTILE(K26:K31,3)</f>
        <v>6868.2560099450002</v>
      </c>
      <c r="L34" s="49">
        <f t="shared" si="18"/>
        <v>1.0735717461528747</v>
      </c>
      <c r="M34" s="49">
        <f t="shared" si="18"/>
        <v>1.014743749164178</v>
      </c>
      <c r="N34" s="49">
        <f t="shared" si="18"/>
        <v>0.99353635502731952</v>
      </c>
      <c r="O34" s="49">
        <f t="shared" si="18"/>
        <v>9.3558990674993634</v>
      </c>
      <c r="P34" s="49">
        <f t="shared" si="18"/>
        <v>8.4903291556835843</v>
      </c>
      <c r="Q34" s="49">
        <f t="shared" si="18"/>
        <v>7.6983312481124155</v>
      </c>
      <c r="R34" s="49">
        <f t="shared" si="18"/>
        <v>22.569946340131796</v>
      </c>
      <c r="S34" s="49">
        <f t="shared" si="18"/>
        <v>18.086113146273345</v>
      </c>
      <c r="T34" s="53">
        <f t="shared" si="18"/>
        <v>12.278191813755143</v>
      </c>
      <c r="U34" s="3"/>
      <c r="V34" s="3"/>
      <c r="W34" s="3"/>
      <c r="X34" s="3"/>
      <c r="Y34" s="3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3"/>
    </row>
    <row r="35" spans="1:40" x14ac:dyDescent="0.35">
      <c r="A35" s="3"/>
      <c r="B35" s="27" t="s">
        <v>40</v>
      </c>
      <c r="C35" s="28"/>
      <c r="D35" s="29"/>
      <c r="E35" s="29"/>
      <c r="F35" s="30">
        <f>MEDIAN(F26:F31)</f>
        <v>2931.1840801799999</v>
      </c>
      <c r="G35" s="30"/>
      <c r="H35" s="30"/>
      <c r="I35" s="30"/>
      <c r="J35" s="30"/>
      <c r="K35" s="30">
        <f>MEDIAN(K26:K31)</f>
        <v>4444.3811184249998</v>
      </c>
      <c r="L35" s="54">
        <f t="shared" ref="L35:T35" si="19">MEDIAN(L26:L31)</f>
        <v>0.69731170179766533</v>
      </c>
      <c r="M35" s="54">
        <f t="shared" si="19"/>
        <v>0.69970431358865981</v>
      </c>
      <c r="N35" s="54">
        <f t="shared" si="19"/>
        <v>0.67590264183401005</v>
      </c>
      <c r="O35" s="54">
        <f t="shared" si="19"/>
        <v>9.1146465887525974</v>
      </c>
      <c r="P35" s="54">
        <f t="shared" si="19"/>
        <v>7.9617228865726046</v>
      </c>
      <c r="Q35" s="54">
        <f t="shared" si="19"/>
        <v>6.4992527159007487</v>
      </c>
      <c r="R35" s="54">
        <f t="shared" si="19"/>
        <v>17.905313827041258</v>
      </c>
      <c r="S35" s="54">
        <f t="shared" si="19"/>
        <v>15.405812411214951</v>
      </c>
      <c r="T35" s="55">
        <f t="shared" si="19"/>
        <v>11.135726528188737</v>
      </c>
      <c r="U35" s="3"/>
      <c r="V35" s="3"/>
      <c r="W35" s="3"/>
      <c r="X35" s="3"/>
      <c r="Y35" s="3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3"/>
    </row>
    <row r="36" spans="1:40" x14ac:dyDescent="0.35">
      <c r="A36" s="3"/>
      <c r="B36" s="22" t="s">
        <v>41</v>
      </c>
      <c r="C36" s="33"/>
      <c r="D36" s="23"/>
      <c r="E36" s="23"/>
      <c r="F36" s="24">
        <f>QUARTILE(F26:F31,1)</f>
        <v>2015.6221719149999</v>
      </c>
      <c r="G36" s="24"/>
      <c r="H36" s="24"/>
      <c r="I36" s="24"/>
      <c r="J36" s="24"/>
      <c r="K36" s="24">
        <f t="shared" ref="K36:T36" si="20">QUARTILE(K26:K31,1)</f>
        <v>3378.2968647824996</v>
      </c>
      <c r="L36" s="49">
        <f t="shared" si="20"/>
        <v>0.53309520863083315</v>
      </c>
      <c r="M36" s="49">
        <f t="shared" si="20"/>
        <v>0.53112867901548066</v>
      </c>
      <c r="N36" s="49">
        <f t="shared" si="20"/>
        <v>0.51302213044062783</v>
      </c>
      <c r="O36" s="49">
        <f t="shared" si="20"/>
        <v>6.2822613708881567</v>
      </c>
      <c r="P36" s="49">
        <f t="shared" si="20"/>
        <v>7.4565512382554182</v>
      </c>
      <c r="Q36" s="49">
        <f t="shared" si="20"/>
        <v>5.9166343974079902</v>
      </c>
      <c r="R36" s="49">
        <f t="shared" si="20"/>
        <v>16.030401222350164</v>
      </c>
      <c r="S36" s="49">
        <f t="shared" si="20"/>
        <v>13.945448542724087</v>
      </c>
      <c r="T36" s="53">
        <f t="shared" si="20"/>
        <v>9.6241583084960993</v>
      </c>
      <c r="U36" s="3"/>
      <c r="V36" s="3"/>
      <c r="W36" s="3"/>
      <c r="X36" s="3"/>
      <c r="Y36" s="3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3"/>
    </row>
    <row r="37" spans="1:40" x14ac:dyDescent="0.35">
      <c r="A37" s="3"/>
      <c r="B37" s="34" t="s">
        <v>42</v>
      </c>
      <c r="C37" s="35"/>
      <c r="D37" s="36"/>
      <c r="E37" s="36"/>
      <c r="F37" s="37">
        <f>MIN(F26:F31)</f>
        <v>1036.1534221499999</v>
      </c>
      <c r="G37" s="37"/>
      <c r="H37" s="37"/>
      <c r="I37" s="37"/>
      <c r="J37" s="37"/>
      <c r="K37" s="37">
        <f t="shared" ref="K37:T37" si="21">MIN(K26:K31)</f>
        <v>2372.998114</v>
      </c>
      <c r="L37" s="56">
        <f t="shared" si="21"/>
        <v>0.49299832010636974</v>
      </c>
      <c r="M37" s="56">
        <f t="shared" si="21"/>
        <v>0.50662364088973399</v>
      </c>
      <c r="N37" s="56">
        <f t="shared" si="21"/>
        <v>0.48535106134034706</v>
      </c>
      <c r="O37" s="56">
        <f t="shared" si="21"/>
        <v>5.4943230238481133</v>
      </c>
      <c r="P37" s="56">
        <f t="shared" si="21"/>
        <v>6.4583678904825419</v>
      </c>
      <c r="Q37" s="56">
        <f t="shared" si="21"/>
        <v>5.6084219688972219</v>
      </c>
      <c r="R37" s="56">
        <f t="shared" si="21"/>
        <v>13.730626846986087</v>
      </c>
      <c r="S37" s="56">
        <f t="shared" si="21"/>
        <v>13.477022290341594</v>
      </c>
      <c r="T37" s="57">
        <f t="shared" si="21"/>
        <v>8.0415477077997668</v>
      </c>
      <c r="U37" s="3"/>
      <c r="V37" s="3"/>
      <c r="W37" s="3"/>
      <c r="X37" s="3"/>
      <c r="Y37" s="3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3"/>
    </row>
    <row r="38" spans="1:40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3"/>
    </row>
    <row r="39" spans="1:40" ht="14.5" customHeight="1" x14ac:dyDescent="0.35">
      <c r="A39" s="3"/>
      <c r="B39" s="40" t="str">
        <f>B21</f>
        <v>Steel Dynamics Inc.</v>
      </c>
      <c r="C39" s="41" t="str">
        <f>C21</f>
        <v>STLD</v>
      </c>
      <c r="D39" s="42"/>
      <c r="E39" s="42"/>
      <c r="F39" s="90">
        <f>+F21</f>
        <v>6043.1644899999992</v>
      </c>
      <c r="G39" s="45"/>
      <c r="H39" s="45"/>
      <c r="I39" s="45"/>
      <c r="J39" s="45"/>
      <c r="K39" s="90">
        <f>+K21</f>
        <v>7598.5644899999998</v>
      </c>
      <c r="L39" s="58">
        <f t="shared" ref="L39:Q39" si="22">IFERROR(IF(OR(+$K21/L21&lt;0,+$K21/L21&gt;=100),"NM",+$K21/L21),"N/A")</f>
        <v>1.0398736164331071</v>
      </c>
      <c r="M39" s="58">
        <f t="shared" si="22"/>
        <v>0.98477817026300085</v>
      </c>
      <c r="N39" s="59">
        <f t="shared" si="22"/>
        <v>0.90392907199573136</v>
      </c>
      <c r="O39" s="60">
        <f>IFERROR(IF(OR(+$K21/O21&lt;0,+$K21/O21&gt;=100),"NM",+$K21/O21),"N/A")</f>
        <v>8.8068665855354666</v>
      </c>
      <c r="P39" s="60">
        <f t="shared" si="22"/>
        <v>12.131456114013892</v>
      </c>
      <c r="Q39" s="60">
        <f t="shared" si="22"/>
        <v>10.405611146235678</v>
      </c>
      <c r="R39" s="60" t="str">
        <f>IFERROR(IF(OR(+$F21/R21&lt;0,+$F21/R21&gt;=100),"NM",+$F21/R21),"N/A")</f>
        <v>NM</v>
      </c>
      <c r="S39" s="60">
        <f>IFERROR(IF(OR(+$F21/S21&lt;0,+$F21/S21&gt;=100),"NM",+$F21/S21),"N/A")</f>
        <v>35.392328491085493</v>
      </c>
      <c r="T39" s="60">
        <f>IFERROR(IF(OR(+$F21/T21&lt;0,+$F21/T21&gt;=100),"NM",+$F21/T21),"N/A")</f>
        <v>29.36815700101306</v>
      </c>
      <c r="U39" s="3"/>
      <c r="V39" s="3"/>
      <c r="W39" s="3"/>
      <c r="X39" s="3"/>
      <c r="Y39" s="3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3"/>
    </row>
    <row r="40" spans="1:40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78"/>
      <c r="S40" s="3"/>
      <c r="T40" s="3"/>
      <c r="U40" s="3"/>
      <c r="V40" s="3"/>
      <c r="W40" s="3"/>
      <c r="X40" s="3"/>
      <c r="Y40" s="3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3"/>
    </row>
    <row r="41" spans="1:40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3"/>
    </row>
    <row r="42" spans="1:40" x14ac:dyDescent="0.35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3"/>
    </row>
    <row r="43" spans="1:40" x14ac:dyDescent="0.35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3"/>
    </row>
  </sheetData>
  <pageMargins left="0.7" right="0.7" top="0.75" bottom="0.75" header="0.3" footer="0.3"/>
  <pageSetup scale="37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48CF-9A7F-DC49-9C61-00A79A15F444}">
  <sheetPr>
    <pageSetUpPr autoPageBreaks="0"/>
  </sheetPr>
  <dimension ref="A1:AN43"/>
  <sheetViews>
    <sheetView showGridLines="0" zoomScale="113" zoomScaleNormal="70" workbookViewId="0">
      <selection activeCell="H9" sqref="H9"/>
    </sheetView>
  </sheetViews>
  <sheetFormatPr defaultColWidth="9.1796875" defaultRowHeight="15.5" outlineLevelCol="1" x14ac:dyDescent="0.35"/>
  <cols>
    <col min="1" max="1" width="2.453125" style="77" customWidth="1"/>
    <col min="2" max="2" width="30.453125" style="77" bestFit="1" customWidth="1"/>
    <col min="3" max="3" width="10.1796875" style="77" hidden="1" customWidth="1" outlineLevel="1"/>
    <col min="4" max="5" width="12.7265625" style="77" hidden="1" customWidth="1" outlineLevel="1"/>
    <col min="6" max="6" width="12.7265625" style="77" customWidth="1" collapsed="1"/>
    <col min="7" max="10" width="12.7265625" style="77" customWidth="1" outlineLevel="1"/>
    <col min="11" max="25" width="12.7265625" style="77" customWidth="1"/>
    <col min="26" max="26" width="2.453125" style="77" customWidth="1"/>
    <col min="27" max="27" width="2.7265625" style="77" customWidth="1"/>
    <col min="28" max="36" width="12.26953125" style="77" customWidth="1"/>
    <col min="37" max="16384" width="9.1796875" style="77"/>
  </cols>
  <sheetData>
    <row r="1" spans="1:40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</row>
    <row r="2" spans="1:40" ht="18" customHeight="1" x14ac:dyDescent="0.45">
      <c r="A2" s="3"/>
      <c r="B2" s="1" t="s">
        <v>0</v>
      </c>
      <c r="C2" s="33"/>
      <c r="D2" s="33"/>
      <c r="E2" s="3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</row>
    <row r="3" spans="1:40" x14ac:dyDescent="0.35">
      <c r="A3" s="3"/>
      <c r="B3" s="3" t="s">
        <v>1</v>
      </c>
      <c r="C3" s="3"/>
      <c r="D3" s="33"/>
      <c r="E3" s="3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</row>
    <row r="4" spans="1:40" x14ac:dyDescent="0.35">
      <c r="A4" s="3"/>
      <c r="B4" s="75"/>
      <c r="C4" s="3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3"/>
      <c r="V4" s="3"/>
      <c r="W4" s="3"/>
      <c r="X4" s="3"/>
      <c r="Y4" s="3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</row>
    <row r="5" spans="1:40" x14ac:dyDescent="0.35">
      <c r="A5" s="3"/>
      <c r="B5" s="47" t="s">
        <v>2</v>
      </c>
      <c r="C5" s="48"/>
      <c r="D5" s="48"/>
      <c r="E5" s="48"/>
      <c r="F5" s="6" t="s">
        <v>3</v>
      </c>
      <c r="G5" s="6"/>
      <c r="H5" s="6"/>
      <c r="I5" s="6"/>
      <c r="J5" s="6"/>
      <c r="K5" s="10"/>
      <c r="L5" s="4"/>
      <c r="M5" s="4"/>
      <c r="N5" s="4"/>
      <c r="O5" s="4"/>
      <c r="P5" s="4"/>
      <c r="Q5" s="4"/>
      <c r="R5" s="4"/>
      <c r="S5" s="4"/>
      <c r="T5" s="4"/>
      <c r="U5" s="5" t="s">
        <v>4</v>
      </c>
      <c r="V5" s="5" t="s">
        <v>4</v>
      </c>
      <c r="W5" s="6"/>
      <c r="X5" s="6"/>
      <c r="Y5" s="11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</row>
    <row r="6" spans="1:40" x14ac:dyDescent="0.35">
      <c r="A6" s="3"/>
      <c r="B6" s="4"/>
      <c r="C6" s="4"/>
      <c r="D6" s="5" t="s">
        <v>5</v>
      </c>
      <c r="E6" s="5" t="s">
        <v>6</v>
      </c>
      <c r="F6" s="5" t="s">
        <v>7</v>
      </c>
      <c r="G6" s="5"/>
      <c r="H6" s="5"/>
      <c r="I6" s="5" t="s">
        <v>8</v>
      </c>
      <c r="J6" s="5" t="s">
        <v>9</v>
      </c>
      <c r="K6" s="5" t="s">
        <v>10</v>
      </c>
      <c r="L6" s="6" t="s">
        <v>11</v>
      </c>
      <c r="M6" s="6"/>
      <c r="N6" s="6"/>
      <c r="O6" s="6" t="s">
        <v>12</v>
      </c>
      <c r="P6" s="6"/>
      <c r="Q6" s="6"/>
      <c r="R6" s="6" t="s">
        <v>13</v>
      </c>
      <c r="S6" s="6"/>
      <c r="T6" s="6"/>
      <c r="U6" s="5" t="s">
        <v>11</v>
      </c>
      <c r="V6" s="5" t="s">
        <v>12</v>
      </c>
      <c r="W6" s="6" t="s">
        <v>14</v>
      </c>
      <c r="X6" s="6"/>
      <c r="Y6" s="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</row>
    <row r="7" spans="1:40" x14ac:dyDescent="0.35">
      <c r="A7" s="3"/>
      <c r="B7" s="7" t="s">
        <v>15</v>
      </c>
      <c r="C7" s="7" t="s">
        <v>16</v>
      </c>
      <c r="D7" s="8" t="s">
        <v>17</v>
      </c>
      <c r="E7" s="8" t="s">
        <v>18</v>
      </c>
      <c r="F7" s="8" t="s">
        <v>19</v>
      </c>
      <c r="G7" s="8" t="s">
        <v>20</v>
      </c>
      <c r="H7" s="8" t="s">
        <v>21</v>
      </c>
      <c r="I7" s="8" t="s">
        <v>22</v>
      </c>
      <c r="J7" s="8" t="s">
        <v>23</v>
      </c>
      <c r="K7" s="8" t="s">
        <v>19</v>
      </c>
      <c r="L7" s="9" t="s">
        <v>24</v>
      </c>
      <c r="M7" s="74" t="e">
        <f>EOMONTH("12/31/2016",12)</f>
        <v>#VALUE!</v>
      </c>
      <c r="N7" s="74" t="e">
        <f>EOMONTH(M7,12)</f>
        <v>#VALUE!</v>
      </c>
      <c r="O7" s="9" t="str">
        <f>$L$7</f>
        <v>LTM</v>
      </c>
      <c r="P7" s="74" t="e">
        <f>+$M$7</f>
        <v>#VALUE!</v>
      </c>
      <c r="Q7" s="74" t="e">
        <f>+$N$7</f>
        <v>#VALUE!</v>
      </c>
      <c r="R7" s="9" t="str">
        <f>$L$7</f>
        <v>LTM</v>
      </c>
      <c r="S7" s="74" t="e">
        <f>+$M$7</f>
        <v>#VALUE!</v>
      </c>
      <c r="T7" s="74" t="e">
        <f>+$N$7</f>
        <v>#VALUE!</v>
      </c>
      <c r="U7" s="8" t="s">
        <v>25</v>
      </c>
      <c r="V7" s="8" t="s">
        <v>25</v>
      </c>
      <c r="W7" s="9" t="str">
        <f>$L$7</f>
        <v>LTM</v>
      </c>
      <c r="X7" s="74" t="e">
        <f>+$M$7</f>
        <v>#VALUE!</v>
      </c>
      <c r="Y7" s="74" t="e">
        <f>+$N$7</f>
        <v>#VALUE!</v>
      </c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</row>
    <row r="8" spans="1:40" x14ac:dyDescent="0.35">
      <c r="A8" s="3"/>
      <c r="B8" s="3" t="s">
        <v>26</v>
      </c>
      <c r="C8" s="3" t="s">
        <v>27</v>
      </c>
      <c r="D8" s="12">
        <v>54.84</v>
      </c>
      <c r="E8" s="13"/>
      <c r="F8" s="46"/>
      <c r="G8" s="14"/>
      <c r="H8" s="14"/>
      <c r="I8" s="14"/>
      <c r="J8" s="14"/>
      <c r="K8" s="46"/>
      <c r="L8" s="14"/>
      <c r="M8" s="14"/>
      <c r="N8" s="14"/>
      <c r="O8" s="14"/>
      <c r="P8" s="14"/>
      <c r="Q8" s="14"/>
      <c r="R8" s="14"/>
      <c r="S8" s="14"/>
      <c r="T8" s="14"/>
      <c r="U8" s="25"/>
      <c r="V8" s="25"/>
      <c r="W8" s="25"/>
      <c r="X8" s="25"/>
      <c r="Y8" s="25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3"/>
    </row>
    <row r="9" spans="1:40" x14ac:dyDescent="0.35">
      <c r="A9" s="3"/>
      <c r="B9" s="3" t="s">
        <v>28</v>
      </c>
      <c r="C9" s="3" t="s">
        <v>29</v>
      </c>
      <c r="D9" s="91">
        <v>250.49</v>
      </c>
      <c r="E9" s="13">
        <v>231</v>
      </c>
      <c r="F9" s="50">
        <f>D9*E9</f>
        <v>57863.19</v>
      </c>
      <c r="G9" s="13">
        <v>2260</v>
      </c>
      <c r="H9" s="13"/>
      <c r="I9" s="13"/>
      <c r="J9" s="13"/>
      <c r="K9" s="50"/>
      <c r="L9" s="13"/>
      <c r="M9" s="13"/>
      <c r="N9" s="13"/>
      <c r="O9" s="13"/>
      <c r="P9" s="13"/>
      <c r="Q9" s="13"/>
      <c r="R9" s="13"/>
      <c r="S9" s="13"/>
      <c r="T9" s="13"/>
      <c r="U9" s="25"/>
      <c r="V9" s="25"/>
      <c r="W9" s="25"/>
      <c r="X9" s="25"/>
      <c r="Y9" s="25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3"/>
    </row>
    <row r="10" spans="1:40" x14ac:dyDescent="0.35">
      <c r="A10" s="3"/>
      <c r="B10" s="3" t="s">
        <v>30</v>
      </c>
      <c r="C10" s="3" t="s">
        <v>31</v>
      </c>
      <c r="D10" s="91">
        <v>73.569999999999993</v>
      </c>
      <c r="E10" s="13">
        <v>114.08674999999999</v>
      </c>
      <c r="F10" s="50">
        <f t="shared" ref="F10:F13" si="0">D10*E10</f>
        <v>8393.3621974999987</v>
      </c>
      <c r="G10" s="13">
        <f>1043252*1000/1000000</f>
        <v>1043.252</v>
      </c>
      <c r="H10" s="13"/>
      <c r="I10" s="13"/>
      <c r="J10" s="13"/>
      <c r="K10" s="50"/>
      <c r="L10" s="13"/>
      <c r="M10" s="13"/>
      <c r="N10" s="13"/>
      <c r="O10" s="13"/>
      <c r="P10" s="13"/>
      <c r="Q10" s="13"/>
      <c r="R10" s="13"/>
      <c r="S10" s="13"/>
      <c r="T10" s="13"/>
      <c r="U10" s="25"/>
      <c r="V10" s="25"/>
      <c r="W10" s="25"/>
      <c r="X10" s="25"/>
      <c r="Y10" s="25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3"/>
    </row>
    <row r="11" spans="1:40" x14ac:dyDescent="0.35">
      <c r="A11" s="3"/>
      <c r="B11" t="s">
        <v>48</v>
      </c>
      <c r="C11" s="3" t="s">
        <v>49</v>
      </c>
      <c r="D11" s="91">
        <v>24.6</v>
      </c>
      <c r="E11" s="13">
        <f>32116*1000/1000000</f>
        <v>32.116</v>
      </c>
      <c r="F11" s="50">
        <f t="shared" si="0"/>
        <v>790.05360000000007</v>
      </c>
      <c r="G11" s="13">
        <v>26.9</v>
      </c>
      <c r="H11" s="13"/>
      <c r="I11" s="13"/>
      <c r="J11" s="13"/>
      <c r="K11" s="50"/>
      <c r="L11" s="13"/>
      <c r="M11" s="13"/>
      <c r="N11" s="13"/>
      <c r="O11" s="13"/>
      <c r="P11" s="13"/>
      <c r="Q11" s="13"/>
      <c r="R11" s="13"/>
      <c r="S11" s="13"/>
      <c r="T11" s="13"/>
      <c r="U11" s="25"/>
      <c r="V11" s="25"/>
      <c r="W11" s="25"/>
      <c r="X11" s="25"/>
      <c r="Y11" s="25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3"/>
    </row>
    <row r="12" spans="1:40" x14ac:dyDescent="0.35">
      <c r="A12" s="3"/>
      <c r="B12" s="3" t="s">
        <v>34</v>
      </c>
      <c r="C12" s="3" t="s">
        <v>35</v>
      </c>
      <c r="D12" s="91">
        <v>57.49</v>
      </c>
      <c r="E12" s="13">
        <f>50131*1000/1000000</f>
        <v>50.131</v>
      </c>
      <c r="F12" s="50">
        <f t="shared" si="0"/>
        <v>2882.0311900000002</v>
      </c>
      <c r="G12" s="13">
        <f>250075*1000/1000000</f>
        <v>250.07499999999999</v>
      </c>
      <c r="H12" s="13"/>
      <c r="I12" s="13"/>
      <c r="J12" s="13"/>
      <c r="K12" s="50"/>
      <c r="L12" s="13"/>
      <c r="M12" s="13"/>
      <c r="N12" s="13"/>
      <c r="O12" s="13"/>
      <c r="P12" s="13"/>
      <c r="Q12" s="13"/>
      <c r="R12" s="13"/>
      <c r="S12" s="13"/>
      <c r="T12" s="13"/>
      <c r="U12" s="25"/>
      <c r="V12" s="25"/>
      <c r="W12" s="25"/>
      <c r="X12" s="25"/>
      <c r="Y12" s="25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3"/>
    </row>
    <row r="13" spans="1:40" x14ac:dyDescent="0.35">
      <c r="A13" s="3"/>
      <c r="B13" s="3" t="s">
        <v>36</v>
      </c>
      <c r="C13" s="3" t="s">
        <v>37</v>
      </c>
      <c r="D13" s="91">
        <v>394.29</v>
      </c>
      <c r="E13" s="13">
        <f>52375*1000/1000000</f>
        <v>52.375</v>
      </c>
      <c r="F13" s="50">
        <f t="shared" si="0"/>
        <v>20650.938750000001</v>
      </c>
      <c r="G13" s="13">
        <v>216.6</v>
      </c>
      <c r="H13" s="13"/>
      <c r="I13" s="13"/>
      <c r="J13" s="13"/>
      <c r="K13" s="50"/>
      <c r="L13" s="13"/>
      <c r="M13" s="13"/>
      <c r="N13" s="13"/>
      <c r="O13" s="13"/>
      <c r="P13" s="13"/>
      <c r="Q13" s="13"/>
      <c r="R13" s="13"/>
      <c r="S13" s="13"/>
      <c r="T13" s="13"/>
      <c r="U13" s="25"/>
      <c r="V13" s="25"/>
      <c r="W13" s="25"/>
      <c r="X13" s="25"/>
      <c r="Y13" s="25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3"/>
    </row>
    <row r="14" spans="1:40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3"/>
    </row>
    <row r="15" spans="1:40" x14ac:dyDescent="0.35">
      <c r="A15" s="3"/>
      <c r="B15" s="16" t="s">
        <v>38</v>
      </c>
      <c r="C15" s="17"/>
      <c r="D15" s="18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0"/>
      <c r="V15" s="20"/>
      <c r="W15" s="20"/>
      <c r="X15" s="20"/>
      <c r="Y15" s="21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3"/>
    </row>
    <row r="16" spans="1:40" x14ac:dyDescent="0.35">
      <c r="A16" s="3"/>
      <c r="B16" s="22" t="s">
        <v>39</v>
      </c>
      <c r="C16" s="3"/>
      <c r="D16" s="23"/>
      <c r="E16" s="23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5"/>
      <c r="V16" s="25"/>
      <c r="W16" s="25"/>
      <c r="X16" s="25"/>
      <c r="Y16" s="2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3"/>
    </row>
    <row r="17" spans="1:40" x14ac:dyDescent="0.35">
      <c r="A17" s="3"/>
      <c r="B17" s="27" t="s">
        <v>40</v>
      </c>
      <c r="C17" s="28"/>
      <c r="D17" s="29"/>
      <c r="E17" s="29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1"/>
      <c r="V17" s="31"/>
      <c r="W17" s="31"/>
      <c r="X17" s="31"/>
      <c r="Y17" s="32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3"/>
    </row>
    <row r="18" spans="1:40" x14ac:dyDescent="0.35">
      <c r="A18" s="3"/>
      <c r="B18" s="22" t="s">
        <v>41</v>
      </c>
      <c r="C18" s="33"/>
      <c r="D18" s="23"/>
      <c r="E18" s="23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5"/>
      <c r="V18" s="25"/>
      <c r="W18" s="25"/>
      <c r="X18" s="25"/>
      <c r="Y18" s="2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3"/>
    </row>
    <row r="19" spans="1:40" x14ac:dyDescent="0.35">
      <c r="A19" s="3"/>
      <c r="B19" s="34" t="s">
        <v>42</v>
      </c>
      <c r="C19" s="35"/>
      <c r="D19" s="36"/>
      <c r="E19" s="36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8"/>
      <c r="V19" s="38"/>
      <c r="W19" s="38"/>
      <c r="X19" s="38"/>
      <c r="Y19" s="39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3"/>
    </row>
    <row r="20" spans="1:40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3"/>
    </row>
    <row r="21" spans="1:40" x14ac:dyDescent="0.35">
      <c r="A21" s="3"/>
      <c r="B21" s="40" t="s">
        <v>43</v>
      </c>
      <c r="C21" s="41" t="s">
        <v>44</v>
      </c>
      <c r="D21" s="42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61"/>
      <c r="V21" s="61"/>
      <c r="W21" s="61"/>
      <c r="X21" s="61"/>
      <c r="Y21" s="61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3"/>
    </row>
    <row r="22" spans="1:40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3"/>
    </row>
    <row r="23" spans="1:40" x14ac:dyDescent="0.35">
      <c r="A23" s="3"/>
      <c r="B23" s="48" t="s">
        <v>45</v>
      </c>
      <c r="C23" s="48"/>
      <c r="D23" s="48"/>
      <c r="E23" s="48"/>
      <c r="F23" s="6" t="s">
        <v>3</v>
      </c>
      <c r="G23" s="6"/>
      <c r="H23" s="6"/>
      <c r="I23" s="6"/>
      <c r="J23" s="6"/>
      <c r="K23" s="10"/>
      <c r="L23" s="6" t="s">
        <v>46</v>
      </c>
      <c r="M23" s="10"/>
      <c r="N23" s="10"/>
      <c r="O23" s="6" t="s">
        <v>46</v>
      </c>
      <c r="P23" s="10"/>
      <c r="Q23" s="10"/>
      <c r="R23" s="4"/>
      <c r="S23" s="4"/>
      <c r="T23" s="4"/>
      <c r="U23" s="3"/>
      <c r="V23" s="3"/>
      <c r="W23" s="3"/>
      <c r="X23" s="3"/>
      <c r="Y23" s="3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3"/>
    </row>
    <row r="24" spans="1:40" x14ac:dyDescent="0.35">
      <c r="A24" s="3"/>
      <c r="B24" s="4"/>
      <c r="C24" s="4"/>
      <c r="D24" s="5"/>
      <c r="E24" s="5"/>
      <c r="F24" s="5" t="s">
        <v>7</v>
      </c>
      <c r="G24" s="5"/>
      <c r="H24" s="5"/>
      <c r="I24" s="5"/>
      <c r="J24" s="5"/>
      <c r="K24" s="5" t="s">
        <v>10</v>
      </c>
      <c r="L24" s="6" t="s">
        <v>11</v>
      </c>
      <c r="M24" s="10"/>
      <c r="N24" s="10"/>
      <c r="O24" s="6" t="s">
        <v>12</v>
      </c>
      <c r="P24" s="11"/>
      <c r="Q24" s="11"/>
      <c r="R24" s="6" t="s">
        <v>47</v>
      </c>
      <c r="S24" s="6"/>
      <c r="T24" s="6"/>
      <c r="U24" s="67"/>
      <c r="V24" s="67"/>
      <c r="W24" s="67"/>
      <c r="X24" s="67"/>
      <c r="Y24" s="3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3"/>
    </row>
    <row r="25" spans="1:40" x14ac:dyDescent="0.35">
      <c r="A25" s="3"/>
      <c r="B25" s="7" t="s">
        <v>15</v>
      </c>
      <c r="C25" s="7"/>
      <c r="D25" s="8"/>
      <c r="E25" s="8"/>
      <c r="F25" s="8" t="s">
        <v>19</v>
      </c>
      <c r="G25" s="8"/>
      <c r="H25" s="8"/>
      <c r="I25" s="8"/>
      <c r="J25" s="8"/>
      <c r="K25" s="8" t="s">
        <v>19</v>
      </c>
      <c r="L25" s="9" t="str">
        <f>$L$7</f>
        <v>LTM</v>
      </c>
      <c r="M25" s="74" t="e">
        <f>+$M$7</f>
        <v>#VALUE!</v>
      </c>
      <c r="N25" s="74" t="e">
        <f>+$N$7</f>
        <v>#VALUE!</v>
      </c>
      <c r="O25" s="9" t="str">
        <f>$L$7</f>
        <v>LTM</v>
      </c>
      <c r="P25" s="74" t="e">
        <f>+$M$7</f>
        <v>#VALUE!</v>
      </c>
      <c r="Q25" s="74" t="e">
        <f>+$N$7</f>
        <v>#VALUE!</v>
      </c>
      <c r="R25" s="9" t="str">
        <f>$L$7</f>
        <v>LTM</v>
      </c>
      <c r="S25" s="74" t="e">
        <f>+$M$7</f>
        <v>#VALUE!</v>
      </c>
      <c r="T25" s="74" t="e">
        <f>+$N$7</f>
        <v>#VALUE!</v>
      </c>
      <c r="U25" s="76"/>
      <c r="V25" s="76"/>
      <c r="W25" s="76"/>
      <c r="X25" s="76"/>
      <c r="Y25" s="3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3"/>
    </row>
    <row r="26" spans="1:40" x14ac:dyDescent="0.35">
      <c r="A26" s="3"/>
      <c r="B26" s="3" t="str">
        <f t="shared" ref="B26:C31" si="1">+B8</f>
        <v>United States Steel Corp.</v>
      </c>
      <c r="C26" s="3" t="str">
        <f t="shared" si="1"/>
        <v>X</v>
      </c>
      <c r="D26" s="12"/>
      <c r="E26" s="13"/>
      <c r="F26" s="46"/>
      <c r="G26" s="14"/>
      <c r="H26" s="14"/>
      <c r="I26" s="14"/>
      <c r="J26" s="14"/>
      <c r="K26" s="46"/>
      <c r="L26" s="49"/>
      <c r="M26" s="49"/>
      <c r="N26" s="49"/>
      <c r="O26" s="49"/>
      <c r="P26" s="49"/>
      <c r="Q26" s="49"/>
      <c r="R26" s="49"/>
      <c r="S26" s="49"/>
      <c r="T26" s="49"/>
      <c r="U26" s="3"/>
      <c r="V26" s="3"/>
      <c r="W26" s="3"/>
      <c r="X26" s="3"/>
      <c r="Y26" s="3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3"/>
    </row>
    <row r="27" spans="1:40" x14ac:dyDescent="0.35">
      <c r="A27" s="3"/>
      <c r="B27" s="3" t="str">
        <f t="shared" si="1"/>
        <v>Nucor Corporation</v>
      </c>
      <c r="C27" s="3" t="str">
        <f t="shared" si="1"/>
        <v>NUE</v>
      </c>
      <c r="D27" s="15"/>
      <c r="E27" s="13"/>
      <c r="F27" s="50"/>
      <c r="G27" s="13"/>
      <c r="H27" s="13"/>
      <c r="I27" s="13"/>
      <c r="J27" s="13"/>
      <c r="K27" s="50"/>
      <c r="L27" s="49"/>
      <c r="M27" s="49"/>
      <c r="N27" s="49"/>
      <c r="O27" s="49"/>
      <c r="P27" s="49"/>
      <c r="Q27" s="49"/>
      <c r="R27" s="49"/>
      <c r="S27" s="49"/>
      <c r="T27" s="49"/>
      <c r="U27" s="3"/>
      <c r="V27" s="3"/>
      <c r="W27" s="3"/>
      <c r="X27" s="3"/>
      <c r="Y27" s="3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3"/>
    </row>
    <row r="28" spans="1:40" x14ac:dyDescent="0.35">
      <c r="A28" s="3"/>
      <c r="B28" s="3" t="str">
        <f t="shared" si="1"/>
        <v>Commercial Metals Company</v>
      </c>
      <c r="C28" s="3" t="str">
        <f t="shared" si="1"/>
        <v>CMC</v>
      </c>
      <c r="D28" s="15"/>
      <c r="E28" s="13"/>
      <c r="F28" s="50"/>
      <c r="G28" s="13"/>
      <c r="H28" s="13"/>
      <c r="I28" s="13"/>
      <c r="J28" s="13"/>
      <c r="K28" s="50"/>
      <c r="L28" s="49"/>
      <c r="M28" s="49"/>
      <c r="N28" s="49"/>
      <c r="O28" s="49"/>
      <c r="P28" s="49"/>
      <c r="Q28" s="49"/>
      <c r="R28" s="49"/>
      <c r="S28" s="49"/>
      <c r="T28" s="49"/>
      <c r="U28" s="3"/>
      <c r="V28" s="3"/>
      <c r="W28" s="3"/>
      <c r="X28" s="3"/>
      <c r="Y28" s="3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3"/>
    </row>
    <row r="29" spans="1:40" x14ac:dyDescent="0.35">
      <c r="A29" s="3"/>
      <c r="B29" s="3" t="str">
        <f t="shared" si="1"/>
        <v>Ryerson Holding Corp</v>
      </c>
      <c r="C29" s="3" t="str">
        <f t="shared" si="1"/>
        <v>ZEUS</v>
      </c>
      <c r="D29" s="15"/>
      <c r="E29" s="13"/>
      <c r="F29" s="50"/>
      <c r="G29" s="13"/>
      <c r="H29" s="13"/>
      <c r="I29" s="13"/>
      <c r="J29" s="13"/>
      <c r="K29" s="50"/>
      <c r="L29" s="49"/>
      <c r="M29" s="49"/>
      <c r="N29" s="49"/>
      <c r="O29" s="49"/>
      <c r="P29" s="49"/>
      <c r="Q29" s="49"/>
      <c r="R29" s="49"/>
      <c r="S29" s="49"/>
      <c r="T29" s="49"/>
      <c r="U29" s="3"/>
      <c r="V29" s="3"/>
      <c r="W29" s="3"/>
      <c r="X29" s="3"/>
      <c r="Y29" s="3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3"/>
    </row>
    <row r="30" spans="1:40" x14ac:dyDescent="0.35">
      <c r="A30" s="3"/>
      <c r="B30" s="3" t="str">
        <f t="shared" si="1"/>
        <v>Worthington Industries, Inc.</v>
      </c>
      <c r="C30" s="3" t="str">
        <f t="shared" si="1"/>
        <v>WOR</v>
      </c>
      <c r="D30" s="15"/>
      <c r="E30" s="13"/>
      <c r="F30" s="50"/>
      <c r="G30" s="13"/>
      <c r="H30" s="13"/>
      <c r="I30" s="13"/>
      <c r="J30" s="13"/>
      <c r="K30" s="50"/>
      <c r="L30" s="49"/>
      <c r="M30" s="49"/>
      <c r="N30" s="49"/>
      <c r="O30" s="49"/>
      <c r="P30" s="49"/>
      <c r="Q30" s="49"/>
      <c r="R30" s="49"/>
      <c r="S30" s="49"/>
      <c r="T30" s="49"/>
      <c r="U30" s="3"/>
      <c r="V30" s="3"/>
      <c r="W30" s="3"/>
      <c r="X30" s="3"/>
      <c r="Y30" s="3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3"/>
    </row>
    <row r="31" spans="1:40" x14ac:dyDescent="0.35">
      <c r="A31" s="3"/>
      <c r="B31" s="3" t="str">
        <f t="shared" si="1"/>
        <v>Reliance Steel &amp; Aluminum Co.</v>
      </c>
      <c r="C31" s="3" t="str">
        <f t="shared" si="1"/>
        <v>RS</v>
      </c>
      <c r="D31" s="15"/>
      <c r="E31" s="13"/>
      <c r="F31" s="50"/>
      <c r="G31" s="13"/>
      <c r="H31" s="13"/>
      <c r="I31" s="13"/>
      <c r="J31" s="13"/>
      <c r="K31" s="50"/>
      <c r="L31" s="49"/>
      <c r="M31" s="49"/>
      <c r="N31" s="49"/>
      <c r="O31" s="49"/>
      <c r="P31" s="49"/>
      <c r="Q31" s="49"/>
      <c r="R31" s="49"/>
      <c r="S31" s="49"/>
      <c r="T31" s="49"/>
      <c r="U31" s="3"/>
      <c r="V31" s="3"/>
      <c r="W31" s="3"/>
      <c r="X31" s="3"/>
      <c r="Y31" s="3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3"/>
    </row>
    <row r="32" spans="1:40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3"/>
    </row>
    <row r="33" spans="1:40" x14ac:dyDescent="0.35">
      <c r="A33" s="3"/>
      <c r="B33" s="16" t="s">
        <v>38</v>
      </c>
      <c r="C33" s="17"/>
      <c r="D33" s="18"/>
      <c r="E33" s="18"/>
      <c r="F33" s="19"/>
      <c r="G33" s="19"/>
      <c r="H33" s="19"/>
      <c r="I33" s="19"/>
      <c r="J33" s="19"/>
      <c r="K33" s="19"/>
      <c r="L33" s="51"/>
      <c r="M33" s="51"/>
      <c r="N33" s="51"/>
      <c r="O33" s="51"/>
      <c r="P33" s="51"/>
      <c r="Q33" s="51"/>
      <c r="R33" s="51"/>
      <c r="S33" s="51"/>
      <c r="T33" s="52"/>
      <c r="U33" s="3"/>
      <c r="V33" s="3"/>
      <c r="W33" s="3"/>
      <c r="X33" s="3"/>
      <c r="Y33" s="3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3"/>
    </row>
    <row r="34" spans="1:40" x14ac:dyDescent="0.35">
      <c r="A34" s="3"/>
      <c r="B34" s="22" t="s">
        <v>39</v>
      </c>
      <c r="C34" s="3"/>
      <c r="D34" s="23"/>
      <c r="E34" s="23"/>
      <c r="F34" s="24"/>
      <c r="G34" s="24"/>
      <c r="H34" s="24"/>
      <c r="I34" s="24"/>
      <c r="J34" s="24"/>
      <c r="K34" s="24"/>
      <c r="L34" s="49"/>
      <c r="M34" s="49"/>
      <c r="N34" s="49"/>
      <c r="O34" s="49"/>
      <c r="P34" s="49"/>
      <c r="Q34" s="49"/>
      <c r="R34" s="49"/>
      <c r="S34" s="49"/>
      <c r="T34" s="53"/>
      <c r="U34" s="3"/>
      <c r="V34" s="3"/>
      <c r="W34" s="3"/>
      <c r="X34" s="3"/>
      <c r="Y34" s="3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3"/>
    </row>
    <row r="35" spans="1:40" x14ac:dyDescent="0.35">
      <c r="A35" s="3"/>
      <c r="B35" s="27" t="s">
        <v>40</v>
      </c>
      <c r="C35" s="28"/>
      <c r="D35" s="29"/>
      <c r="E35" s="29"/>
      <c r="F35" s="30"/>
      <c r="G35" s="30"/>
      <c r="H35" s="30"/>
      <c r="I35" s="30"/>
      <c r="J35" s="30"/>
      <c r="K35" s="30"/>
      <c r="L35" s="54"/>
      <c r="M35" s="54"/>
      <c r="N35" s="54"/>
      <c r="O35" s="54"/>
      <c r="P35" s="54"/>
      <c r="Q35" s="54"/>
      <c r="R35" s="54"/>
      <c r="S35" s="54"/>
      <c r="T35" s="55"/>
      <c r="U35" s="3"/>
      <c r="V35" s="3"/>
      <c r="W35" s="3"/>
      <c r="X35" s="3"/>
      <c r="Y35" s="3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3"/>
    </row>
    <row r="36" spans="1:40" x14ac:dyDescent="0.35">
      <c r="A36" s="3"/>
      <c r="B36" s="22" t="s">
        <v>41</v>
      </c>
      <c r="C36" s="33"/>
      <c r="D36" s="23"/>
      <c r="E36" s="23"/>
      <c r="F36" s="24"/>
      <c r="G36" s="24"/>
      <c r="H36" s="24"/>
      <c r="I36" s="24"/>
      <c r="J36" s="24"/>
      <c r="K36" s="24"/>
      <c r="L36" s="49"/>
      <c r="M36" s="49"/>
      <c r="N36" s="49"/>
      <c r="O36" s="49"/>
      <c r="P36" s="49"/>
      <c r="Q36" s="49"/>
      <c r="R36" s="49"/>
      <c r="S36" s="49"/>
      <c r="T36" s="53"/>
      <c r="U36" s="3"/>
      <c r="V36" s="3"/>
      <c r="W36" s="3"/>
      <c r="X36" s="3"/>
      <c r="Y36" s="3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3"/>
    </row>
    <row r="37" spans="1:40" x14ac:dyDescent="0.35">
      <c r="A37" s="3"/>
      <c r="B37" s="34" t="s">
        <v>42</v>
      </c>
      <c r="C37" s="35"/>
      <c r="D37" s="36"/>
      <c r="E37" s="36"/>
      <c r="F37" s="37"/>
      <c r="G37" s="37"/>
      <c r="H37" s="37"/>
      <c r="I37" s="37"/>
      <c r="J37" s="37"/>
      <c r="K37" s="37"/>
      <c r="L37" s="56"/>
      <c r="M37" s="56"/>
      <c r="N37" s="56"/>
      <c r="O37" s="56"/>
      <c r="P37" s="56"/>
      <c r="Q37" s="56"/>
      <c r="R37" s="56"/>
      <c r="S37" s="56"/>
      <c r="T37" s="57"/>
      <c r="U37" s="3"/>
      <c r="V37" s="3"/>
      <c r="W37" s="3"/>
      <c r="X37" s="3"/>
      <c r="Y37" s="3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3"/>
    </row>
    <row r="38" spans="1:40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3"/>
    </row>
    <row r="39" spans="1:40" ht="14.5" customHeight="1" x14ac:dyDescent="0.35">
      <c r="A39" s="3"/>
      <c r="B39" s="40" t="str">
        <f>B21</f>
        <v>Steel Dynamics Inc.</v>
      </c>
      <c r="C39" s="41" t="str">
        <f>C21</f>
        <v>STLD</v>
      </c>
      <c r="D39" s="42"/>
      <c r="E39" s="42"/>
      <c r="F39" s="90"/>
      <c r="G39" s="45"/>
      <c r="H39" s="45"/>
      <c r="I39" s="45"/>
      <c r="J39" s="45"/>
      <c r="K39" s="90"/>
      <c r="L39" s="58"/>
      <c r="M39" s="58"/>
      <c r="N39" s="59"/>
      <c r="O39" s="60"/>
      <c r="P39" s="60"/>
      <c r="Q39" s="60"/>
      <c r="R39" s="60"/>
      <c r="S39" s="60"/>
      <c r="T39" s="60"/>
      <c r="U39" s="3"/>
      <c r="V39" s="3"/>
      <c r="W39" s="3"/>
      <c r="X39" s="3"/>
      <c r="Y39" s="3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3"/>
    </row>
    <row r="40" spans="1:40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78"/>
      <c r="S40" s="3"/>
      <c r="T40" s="3"/>
      <c r="U40" s="3"/>
      <c r="V40" s="3"/>
      <c r="W40" s="3"/>
      <c r="X40" s="3"/>
      <c r="Y40" s="3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3"/>
    </row>
    <row r="41" spans="1:40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3"/>
    </row>
    <row r="42" spans="1:40" x14ac:dyDescent="0.35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3"/>
    </row>
    <row r="43" spans="1:40" x14ac:dyDescent="0.35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3"/>
    </row>
  </sheetData>
  <pageMargins left="0.7" right="0.7" top="0.75" bottom="0.75" header="0.3" footer="0.3"/>
  <pageSetup scale="3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B1:M39"/>
  <sheetViews>
    <sheetView showGridLines="0" zoomScaleNormal="100" workbookViewId="0">
      <selection activeCell="J15" sqref="J15"/>
    </sheetView>
  </sheetViews>
  <sheetFormatPr defaultColWidth="9.1796875" defaultRowHeight="15.5" x14ac:dyDescent="0.35"/>
  <cols>
    <col min="1" max="1" width="2.7265625" style="77" customWidth="1"/>
    <col min="2" max="2" width="42.453125" style="77" bestFit="1" customWidth="1"/>
    <col min="3" max="7" width="10.7265625" style="77" customWidth="1"/>
    <col min="8" max="8" width="11.26953125" style="77" bestFit="1" customWidth="1"/>
    <col min="9" max="13" width="10.7265625" style="77" customWidth="1"/>
    <col min="14" max="14" width="2.7265625" style="77" customWidth="1"/>
    <col min="15" max="16384" width="9.1796875" style="77"/>
  </cols>
  <sheetData>
    <row r="1" spans="2:13" x14ac:dyDescent="0.35"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2:13" ht="18.5" x14ac:dyDescent="0.45">
      <c r="B2" s="2" t="s">
        <v>50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2:13" x14ac:dyDescent="0.35">
      <c r="B3" s="3" t="s">
        <v>1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</row>
    <row r="4" spans="2:13" x14ac:dyDescent="0.35"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 spans="2:13" x14ac:dyDescent="0.35">
      <c r="B5" s="48" t="s">
        <v>50</v>
      </c>
      <c r="C5" s="6" t="s">
        <v>51</v>
      </c>
      <c r="D5" s="6"/>
      <c r="E5" s="6"/>
      <c r="F5" s="10"/>
      <c r="G5" s="10"/>
      <c r="H5" s="10"/>
      <c r="I5" s="6" t="s">
        <v>52</v>
      </c>
      <c r="J5" s="10"/>
      <c r="K5" s="10"/>
      <c r="L5" s="10"/>
      <c r="M5" s="10"/>
    </row>
    <row r="6" spans="2:13" x14ac:dyDescent="0.35">
      <c r="B6" s="4"/>
      <c r="C6" s="5"/>
      <c r="D6" s="6"/>
      <c r="E6" s="6"/>
      <c r="F6" s="10"/>
      <c r="G6" s="6"/>
      <c r="H6" s="6"/>
      <c r="I6" s="6"/>
      <c r="J6" s="6"/>
      <c r="K6" s="6"/>
      <c r="L6" s="6"/>
      <c r="M6" s="6"/>
    </row>
    <row r="7" spans="2:13" x14ac:dyDescent="0.35">
      <c r="B7" s="4"/>
      <c r="C7" s="5"/>
      <c r="D7" s="5" t="s">
        <v>53</v>
      </c>
      <c r="E7" s="5"/>
      <c r="F7" s="5" t="s">
        <v>54</v>
      </c>
      <c r="G7" s="6"/>
      <c r="H7" s="5" t="s">
        <v>55</v>
      </c>
      <c r="I7" s="5"/>
      <c r="J7" s="5" t="s">
        <v>54</v>
      </c>
      <c r="K7" s="5"/>
      <c r="L7" s="5" t="s">
        <v>53</v>
      </c>
      <c r="M7" s="5"/>
    </row>
    <row r="8" spans="2:13" x14ac:dyDescent="0.35">
      <c r="B8" s="4"/>
      <c r="C8" s="5" t="s">
        <v>38</v>
      </c>
      <c r="D8" s="5" t="s">
        <v>56</v>
      </c>
      <c r="E8" s="5" t="s">
        <v>40</v>
      </c>
      <c r="F8" s="5" t="s">
        <v>56</v>
      </c>
      <c r="G8" s="5" t="s">
        <v>42</v>
      </c>
      <c r="H8" s="5" t="s">
        <v>57</v>
      </c>
      <c r="I8" s="5" t="s">
        <v>42</v>
      </c>
      <c r="J8" s="5" t="s">
        <v>56</v>
      </c>
      <c r="K8" s="5" t="s">
        <v>40</v>
      </c>
      <c r="L8" s="5" t="s">
        <v>56</v>
      </c>
      <c r="M8" s="5" t="s">
        <v>38</v>
      </c>
    </row>
    <row r="9" spans="2:13" x14ac:dyDescent="0.35">
      <c r="B9" s="7" t="s">
        <v>58</v>
      </c>
      <c r="C9" s="8" t="s">
        <v>59</v>
      </c>
      <c r="D9" s="8" t="s">
        <v>59</v>
      </c>
      <c r="E9" s="8" t="s">
        <v>59</v>
      </c>
      <c r="F9" s="8" t="s">
        <v>59</v>
      </c>
      <c r="G9" s="8" t="s">
        <v>59</v>
      </c>
      <c r="H9" s="8" t="s">
        <v>60</v>
      </c>
      <c r="I9" s="8" t="s">
        <v>59</v>
      </c>
      <c r="J9" s="8" t="s">
        <v>59</v>
      </c>
      <c r="K9" s="8" t="s">
        <v>59</v>
      </c>
      <c r="L9" s="8" t="s">
        <v>59</v>
      </c>
      <c r="M9" s="8" t="s">
        <v>59</v>
      </c>
    </row>
    <row r="11" spans="2:13" x14ac:dyDescent="0.35">
      <c r="B11" s="79" t="s">
        <v>61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</row>
    <row r="12" spans="2:13" x14ac:dyDescent="0.35">
      <c r="B12" s="93" t="s">
        <v>62</v>
      </c>
      <c r="C12" s="80">
        <f t="array" ref="C12:G20">TRANSPOSE('Public-Comps'!L33:T37)</f>
        <v>1.1910881816008796</v>
      </c>
      <c r="D12" s="80">
        <v>1.0735717461528747</v>
      </c>
      <c r="E12" s="80">
        <v>0.69731170179766533</v>
      </c>
      <c r="F12" s="80">
        <v>0.53309520863083315</v>
      </c>
      <c r="G12" s="80">
        <v>0.49299832010636974</v>
      </c>
      <c r="H12" s="81">
        <f t="array" ref="H12:H20">TRANSPOSE('Public-Comps'!L21:T21)</f>
        <v>7307.2</v>
      </c>
      <c r="I12" s="94">
        <f>(+I24+SUM($E$23:$E$32))/Diluted_Shares</f>
        <v>8.4582377464445244</v>
      </c>
      <c r="J12" s="94">
        <f t="shared" ref="I12:M17" si="0">(+J24+SUM($E$23:$E$32))/Diluted_Shares</f>
        <v>9.6688799072264509</v>
      </c>
      <c r="K12" s="94">
        <f t="shared" si="0"/>
        <v>14.627055402620064</v>
      </c>
      <c r="L12" s="94">
        <f t="shared" si="0"/>
        <v>25.987444945967781</v>
      </c>
      <c r="M12" s="94">
        <f t="shared" si="0"/>
        <v>29.535609319155053</v>
      </c>
    </row>
    <row r="13" spans="2:13" x14ac:dyDescent="0.35">
      <c r="B13" s="93" t="str">
        <f>"FY "&amp;TEXT(EOMONTH("12/31/2016",12),"YY")&amp;" EV / Revenue:"</f>
        <v>FY 17 EV / Revenue:</v>
      </c>
      <c r="C13" s="80">
        <v>1.161585775908835</v>
      </c>
      <c r="D13" s="80">
        <v>1.014743749164178</v>
      </c>
      <c r="E13" s="80">
        <v>0.69970431358865981</v>
      </c>
      <c r="F13" s="80">
        <v>0.53112867901548066</v>
      </c>
      <c r="G13" s="80">
        <v>0.50662364088973399</v>
      </c>
      <c r="H13" s="82">
        <v>7716.0163775469155</v>
      </c>
      <c r="I13" s="95">
        <f t="shared" si="0"/>
        <v>9.7254172655542153</v>
      </c>
      <c r="J13" s="95">
        <f>(+J25+SUM($E$23:$E$32))/Diluted_Shares</f>
        <v>10.506689967515948</v>
      </c>
      <c r="K13" s="95">
        <f t="shared" si="0"/>
        <v>15.881239512473595</v>
      </c>
      <c r="L13" s="95">
        <f t="shared" si="0"/>
        <v>25.92536634849683</v>
      </c>
      <c r="M13" s="95">
        <f t="shared" si="0"/>
        <v>30.607002280162604</v>
      </c>
    </row>
    <row r="14" spans="2:13" x14ac:dyDescent="0.35">
      <c r="B14" s="93" t="str">
        <f>"FY "&amp;TEXT(EOMONTH("12/31/2016",24),"YY")&amp;" EV / Revenue:"</f>
        <v>FY 18 EV / Revenue:</v>
      </c>
      <c r="C14" s="80">
        <v>1.1302867171684536</v>
      </c>
      <c r="D14" s="80">
        <v>0.99353635502731952</v>
      </c>
      <c r="E14" s="80">
        <v>0.67590264183401005</v>
      </c>
      <c r="F14" s="80">
        <v>0.51302213044062783</v>
      </c>
      <c r="G14" s="80">
        <v>0.48535106134034706</v>
      </c>
      <c r="H14" s="82">
        <v>8406.1512406317233</v>
      </c>
      <c r="I14" s="95">
        <f t="shared" si="0"/>
        <v>10.431227667593937</v>
      </c>
      <c r="J14" s="95">
        <f>(+J26+SUM($E$23:$E$32))/Diluted_Shares</f>
        <v>11.392346894123195</v>
      </c>
      <c r="K14" s="95">
        <f t="shared" si="0"/>
        <v>17.049793325259063</v>
      </c>
      <c r="L14" s="95">
        <f t="shared" si="0"/>
        <v>28.082394474047781</v>
      </c>
      <c r="M14" s="95">
        <f t="shared" si="0"/>
        <v>32.832243560556307</v>
      </c>
    </row>
    <row r="15" spans="2:13" x14ac:dyDescent="0.35">
      <c r="B15" s="93" t="s">
        <v>63</v>
      </c>
      <c r="C15" s="80">
        <v>13.999630452938723</v>
      </c>
      <c r="D15" s="80">
        <v>9.3558990674993634</v>
      </c>
      <c r="E15" s="80">
        <v>9.1146465887525974</v>
      </c>
      <c r="F15" s="80">
        <v>6.2822613708881567</v>
      </c>
      <c r="G15" s="80">
        <v>5.4943230238481133</v>
      </c>
      <c r="H15" s="82">
        <v>862.8</v>
      </c>
      <c r="I15" s="95">
        <f t="shared" si="0"/>
        <v>13.160653611011426</v>
      </c>
      <c r="J15" s="95">
        <f t="shared" si="0"/>
        <v>15.969684405650437</v>
      </c>
      <c r="K15" s="95">
        <f t="shared" si="0"/>
        <v>26.067247659361698</v>
      </c>
      <c r="L15" s="95">
        <f t="shared" si="0"/>
        <v>26.927322111415521</v>
      </c>
      <c r="M15" s="95">
        <f t="shared" si="0"/>
        <v>43.482404768241615</v>
      </c>
    </row>
    <row r="16" spans="2:13" x14ac:dyDescent="0.35">
      <c r="B16" s="93" t="str">
        <f>"FY "&amp;TEXT(EOMONTH("12/31/2016",12),"YY")&amp;" EV / EBITDA:"</f>
        <v>FY 17 EV / EBITDA:</v>
      </c>
      <c r="C16" s="80">
        <v>11.929638443936632</v>
      </c>
      <c r="D16" s="80">
        <v>8.4903291556835843</v>
      </c>
      <c r="E16" s="80">
        <v>7.9617228865726046</v>
      </c>
      <c r="F16" s="80">
        <v>7.4565512382554182</v>
      </c>
      <c r="G16" s="80">
        <v>6.4583678904825419</v>
      </c>
      <c r="H16" s="82">
        <v>626.35222174379942</v>
      </c>
      <c r="I16" s="95">
        <f t="shared" si="0"/>
        <v>10.287761095470794</v>
      </c>
      <c r="J16" s="95">
        <f t="shared" si="0"/>
        <v>12.871110023790724</v>
      </c>
      <c r="K16" s="95">
        <f t="shared" si="0"/>
        <v>14.17851976891378</v>
      </c>
      <c r="L16" s="95">
        <f t="shared" si="0"/>
        <v>15.54657949647574</v>
      </c>
      <c r="M16" s="95">
        <f t="shared" si="0"/>
        <v>24.447685674807765</v>
      </c>
    </row>
    <row r="17" spans="2:13" x14ac:dyDescent="0.35">
      <c r="B17" s="93" t="str">
        <f>"FY "&amp;TEXT(EOMONTH("12/31/2016",24),"YY")&amp;" EV / EBITDA:"</f>
        <v>FY 18 EV / EBITDA:</v>
      </c>
      <c r="C17" s="80">
        <v>10.363536722498223</v>
      </c>
      <c r="D17" s="80">
        <v>7.6983312481124155</v>
      </c>
      <c r="E17" s="80">
        <v>6.4992527159007487</v>
      </c>
      <c r="F17" s="80">
        <v>5.9166343974079902</v>
      </c>
      <c r="G17" s="80">
        <v>5.6084219688972219</v>
      </c>
      <c r="H17" s="82">
        <v>730.23721367378289</v>
      </c>
      <c r="I17" s="95">
        <f t="shared" si="0"/>
        <v>10.495454582423296</v>
      </c>
      <c r="J17" s="95">
        <f t="shared" si="0"/>
        <v>11.425423076435425</v>
      </c>
      <c r="K17" s="95">
        <f t="shared" si="0"/>
        <v>13.183355690803243</v>
      </c>
      <c r="L17" s="95">
        <f t="shared" si="0"/>
        <v>16.801331974858897</v>
      </c>
      <c r="M17" s="95">
        <f t="shared" si="0"/>
        <v>24.843048959548419</v>
      </c>
    </row>
    <row r="18" spans="2:13" x14ac:dyDescent="0.35">
      <c r="B18" s="93" t="s">
        <v>64</v>
      </c>
      <c r="C18" s="80">
        <v>33.238880440694203</v>
      </c>
      <c r="D18" s="80">
        <v>22.569946340131796</v>
      </c>
      <c r="E18" s="80">
        <v>17.905313827041258</v>
      </c>
      <c r="F18" s="80">
        <v>16.030401222350164</v>
      </c>
      <c r="G18" s="80">
        <v>13.730626846986087</v>
      </c>
      <c r="H18" s="82">
        <v>12.1</v>
      </c>
      <c r="I18" s="95">
        <f t="shared" ref="I18:M20" si="1">+I30/Diluted_Shares</f>
        <v>0.68648311832859532</v>
      </c>
      <c r="J18" s="95">
        <f t="shared" si="1"/>
        <v>0.80146375994428898</v>
      </c>
      <c r="K18" s="95">
        <f t="shared" si="1"/>
        <v>0.89520280520458984</v>
      </c>
      <c r="L18" s="95">
        <f t="shared" si="1"/>
        <v>1.1284180479701622</v>
      </c>
      <c r="M18" s="95">
        <f t="shared" si="1"/>
        <v>1.66182728210167</v>
      </c>
    </row>
    <row r="19" spans="2:13" ht="14.5" customHeight="1" x14ac:dyDescent="0.35">
      <c r="B19" s="93" t="str">
        <f>"FY "&amp;TEXT(EOMONTH("12/31/2016",12),"YY")&amp;" P / E:"</f>
        <v>FY 17 P / E:</v>
      </c>
      <c r="C19" s="80">
        <v>19.074651727279395</v>
      </c>
      <c r="D19" s="80">
        <v>18.086113146273345</v>
      </c>
      <c r="E19" s="80">
        <v>15.405812411214951</v>
      </c>
      <c r="F19" s="80">
        <v>13.945448542724087</v>
      </c>
      <c r="G19" s="80">
        <v>13.477022290341594</v>
      </c>
      <c r="H19" s="82">
        <v>170.74786394803417</v>
      </c>
      <c r="I19" s="95">
        <f t="shared" si="1"/>
        <v>9.5083104428857084</v>
      </c>
      <c r="J19" s="95">
        <f t="shared" si="1"/>
        <v>9.8387945907409975</v>
      </c>
      <c r="K19" s="95">
        <f t="shared" si="1"/>
        <v>10.869110688914692</v>
      </c>
      <c r="L19" s="95">
        <f t="shared" si="1"/>
        <v>12.760116796954897</v>
      </c>
      <c r="M19" s="95">
        <f t="shared" si="1"/>
        <v>13.457550659605058</v>
      </c>
    </row>
    <row r="20" spans="2:13" x14ac:dyDescent="0.35">
      <c r="B20" s="93" t="str">
        <f>"FY "&amp;TEXT(EOMONTH("12/31/2016",24),"YY")&amp;" P / E:"</f>
        <v>FY 18 P / E:</v>
      </c>
      <c r="C20" s="80">
        <v>15.594008007263026</v>
      </c>
      <c r="D20" s="80">
        <v>12.278191813755143</v>
      </c>
      <c r="E20" s="80">
        <v>11.135726528188737</v>
      </c>
      <c r="F20" s="80">
        <v>9.6241583084960993</v>
      </c>
      <c r="G20" s="80">
        <v>8.0415477077997668</v>
      </c>
      <c r="H20" s="82">
        <v>205.77268399210544</v>
      </c>
      <c r="I20" s="95">
        <f t="shared" si="1"/>
        <v>6.83725050423946</v>
      </c>
      <c r="J20" s="95">
        <f t="shared" si="1"/>
        <v>8.1828503216888233</v>
      </c>
      <c r="K20" s="95">
        <f t="shared" si="1"/>
        <v>9.4680470211079655</v>
      </c>
      <c r="L20" s="95">
        <f t="shared" si="1"/>
        <v>10.43941741318293</v>
      </c>
      <c r="M20" s="95">
        <f t="shared" si="1"/>
        <v>13.258659027460453</v>
      </c>
    </row>
    <row r="22" spans="2:13" x14ac:dyDescent="0.35">
      <c r="B22" s="83" t="s">
        <v>65</v>
      </c>
      <c r="C22" s="96"/>
      <c r="D22" s="96"/>
      <c r="E22" s="62">
        <f>+I24</f>
        <v>3602.4373246812647</v>
      </c>
      <c r="F22" s="86"/>
      <c r="G22" s="84" t="s">
        <v>66</v>
      </c>
      <c r="H22" s="84"/>
      <c r="I22" s="84"/>
      <c r="J22" s="97"/>
      <c r="K22" s="97"/>
      <c r="L22" s="97"/>
      <c r="M22" s="97"/>
    </row>
    <row r="23" spans="2:13" x14ac:dyDescent="0.35">
      <c r="B23" s="63" t="s">
        <v>67</v>
      </c>
      <c r="C23" s="3"/>
      <c r="D23" s="3"/>
      <c r="E23" s="87">
        <v>1072.221</v>
      </c>
      <c r="F23" s="86"/>
      <c r="G23" s="86"/>
      <c r="H23" s="86"/>
      <c r="I23" s="86"/>
      <c r="J23" s="86"/>
      <c r="K23" s="86"/>
      <c r="L23" s="86"/>
      <c r="M23" s="86"/>
    </row>
    <row r="24" spans="2:13" x14ac:dyDescent="0.35">
      <c r="B24" s="93" t="s">
        <v>68</v>
      </c>
      <c r="C24" s="86"/>
      <c r="D24" s="86"/>
      <c r="E24" s="87">
        <v>0</v>
      </c>
      <c r="F24" s="86"/>
      <c r="G24" s="92" t="s">
        <v>69</v>
      </c>
      <c r="H24" s="86"/>
      <c r="I24" s="98">
        <f>+$H12*G12</f>
        <v>3602.4373246812647</v>
      </c>
      <c r="J24" s="98">
        <f>+$H12*F12</f>
        <v>3895.433308507224</v>
      </c>
      <c r="K24" s="98">
        <f t="shared" ref="K24:K32" si="2">+$H12*E12</f>
        <v>5095.3960673759002</v>
      </c>
      <c r="L24" s="98">
        <f t="shared" ref="L24:L32" si="3">+$H12*D12</f>
        <v>7844.8034634882852</v>
      </c>
      <c r="M24" s="98">
        <f t="shared" ref="M24:M32" si="4">+$H12*C12</f>
        <v>8703.519560593948</v>
      </c>
    </row>
    <row r="25" spans="2:13" x14ac:dyDescent="0.35">
      <c r="B25" s="93" t="s">
        <v>70</v>
      </c>
      <c r="C25" s="86"/>
      <c r="D25" s="86"/>
      <c r="E25" s="87">
        <v>0</v>
      </c>
      <c r="F25" s="86"/>
      <c r="G25" s="92" t="s">
        <v>69</v>
      </c>
      <c r="H25" s="86"/>
      <c r="I25" s="99">
        <f>+$H13*G13</f>
        <v>3909.1163103576346</v>
      </c>
      <c r="J25" s="99">
        <f>+$H13*F13</f>
        <v>4098.1975858683072</v>
      </c>
      <c r="K25" s="99">
        <f t="shared" si="2"/>
        <v>5398.929943090322</v>
      </c>
      <c r="L25" s="99">
        <f t="shared" si="3"/>
        <v>7829.7793875641564</v>
      </c>
      <c r="M25" s="99">
        <f t="shared" si="4"/>
        <v>8962.8148708381123</v>
      </c>
    </row>
    <row r="26" spans="2:13" x14ac:dyDescent="0.35">
      <c r="B26" s="93" t="s">
        <v>71</v>
      </c>
      <c r="C26" s="86"/>
      <c r="D26" s="86"/>
      <c r="E26" s="87">
        <v>61.148000000000003</v>
      </c>
      <c r="F26" s="86"/>
      <c r="G26" s="92" t="s">
        <v>69</v>
      </c>
      <c r="H26" s="86"/>
      <c r="I26" s="99">
        <f t="shared" ref="I26:I32" si="5">+$H14*G14</f>
        <v>4079.9344264280821</v>
      </c>
      <c r="J26" s="99">
        <f t="shared" ref="J26:J32" si="6">+$H14*F14</f>
        <v>4312.5416182750132</v>
      </c>
      <c r="K26" s="99">
        <f t="shared" si="2"/>
        <v>5681.7398311992229</v>
      </c>
      <c r="L26" s="99">
        <f t="shared" si="3"/>
        <v>8351.8168634256217</v>
      </c>
      <c r="M26" s="99">
        <f>+$H14*C14</f>
        <v>9501.3610897951548</v>
      </c>
    </row>
    <row r="27" spans="2:13" x14ac:dyDescent="0.35">
      <c r="B27" s="93" t="s">
        <v>72</v>
      </c>
      <c r="C27" s="86"/>
      <c r="D27" s="86"/>
      <c r="E27" s="87">
        <v>-2700</v>
      </c>
      <c r="F27" s="86"/>
      <c r="G27" s="92" t="s">
        <v>69</v>
      </c>
      <c r="H27" s="86"/>
      <c r="I27" s="99">
        <f t="shared" si="5"/>
        <v>4740.5019049761522</v>
      </c>
      <c r="J27" s="99">
        <f t="shared" si="6"/>
        <v>5420.3351108023016</v>
      </c>
      <c r="K27" s="99">
        <f t="shared" si="2"/>
        <v>7864.1170767757403</v>
      </c>
      <c r="L27" s="99">
        <f t="shared" si="3"/>
        <v>8072.2697154384505</v>
      </c>
      <c r="M27" s="99">
        <f t="shared" si="4"/>
        <v>12078.88115479553</v>
      </c>
    </row>
    <row r="28" spans="2:13" x14ac:dyDescent="0.35">
      <c r="B28" s="93" t="s">
        <v>73</v>
      </c>
      <c r="C28" s="86"/>
      <c r="D28" s="86"/>
      <c r="E28" s="87">
        <v>0</v>
      </c>
      <c r="F28" s="86"/>
      <c r="G28" s="92" t="s">
        <v>69</v>
      </c>
      <c r="H28" s="86"/>
      <c r="I28" s="99">
        <f t="shared" si="5"/>
        <v>4045.2130770425551</v>
      </c>
      <c r="J28" s="99">
        <f t="shared" si="6"/>
        <v>4670.4274346277598</v>
      </c>
      <c r="K28" s="99">
        <f t="shared" si="2"/>
        <v>4986.8428189132064</v>
      </c>
      <c r="L28" s="99">
        <f t="shared" si="3"/>
        <v>5317.9365299985693</v>
      </c>
      <c r="M28" s="99">
        <f t="shared" si="4"/>
        <v>7472.1555439599515</v>
      </c>
    </row>
    <row r="29" spans="2:13" x14ac:dyDescent="0.35">
      <c r="B29" s="93" t="s">
        <v>74</v>
      </c>
      <c r="C29" s="86"/>
      <c r="D29" s="86"/>
      <c r="E29" s="87">
        <v>11.230999999999995</v>
      </c>
      <c r="F29" s="86"/>
      <c r="G29" s="92" t="s">
        <v>69</v>
      </c>
      <c r="H29" s="86"/>
      <c r="I29" s="99">
        <f t="shared" si="5"/>
        <v>4095.4784316743389</v>
      </c>
      <c r="J29" s="99">
        <f t="shared" si="6"/>
        <v>4320.5466166896722</v>
      </c>
      <c r="K29" s="99">
        <f t="shared" si="2"/>
        <v>4745.9961942211285</v>
      </c>
      <c r="L29" s="99">
        <f t="shared" si="3"/>
        <v>5621.6079605594259</v>
      </c>
      <c r="M29" s="99">
        <f t="shared" si="4"/>
        <v>7567.8401800430302</v>
      </c>
    </row>
    <row r="30" spans="2:13" x14ac:dyDescent="0.35">
      <c r="B30" s="93" t="s">
        <v>75</v>
      </c>
      <c r="C30" s="86"/>
      <c r="D30" s="86"/>
      <c r="E30" s="87">
        <v>0</v>
      </c>
      <c r="F30" s="86"/>
      <c r="G30" s="92" t="s">
        <v>76</v>
      </c>
      <c r="H30" s="86"/>
      <c r="I30" s="99">
        <f>+$H18*G18</f>
        <v>166.14058484853166</v>
      </c>
      <c r="J30" s="99">
        <f t="shared" si="6"/>
        <v>193.96785479043697</v>
      </c>
      <c r="K30" s="99">
        <f t="shared" si="2"/>
        <v>216.65429730719922</v>
      </c>
      <c r="L30" s="99">
        <f t="shared" si="3"/>
        <v>273.09635071559472</v>
      </c>
      <c r="M30" s="99">
        <f t="shared" si="4"/>
        <v>402.19045333239984</v>
      </c>
    </row>
    <row r="31" spans="2:13" x14ac:dyDescent="0.35">
      <c r="B31" s="93" t="s">
        <v>77</v>
      </c>
      <c r="C31" s="86"/>
      <c r="D31" s="86"/>
      <c r="E31" s="87">
        <v>0</v>
      </c>
      <c r="F31" s="86"/>
      <c r="G31" s="92" t="s">
        <v>76</v>
      </c>
      <c r="H31" s="86"/>
      <c r="I31" s="99">
        <f t="shared" si="5"/>
        <v>2301.1727684558705</v>
      </c>
      <c r="J31" s="99">
        <f t="shared" si="6"/>
        <v>2381.1555504673638</v>
      </c>
      <c r="K31" s="99">
        <f t="shared" si="2"/>
        <v>2630.5095615990667</v>
      </c>
      <c r="L31" s="99">
        <f t="shared" si="3"/>
        <v>3088.1651868486333</v>
      </c>
      <c r="M31" s="99">
        <f t="shared" si="4"/>
        <v>3256.9560379856371</v>
      </c>
    </row>
    <row r="32" spans="2:13" x14ac:dyDescent="0.35">
      <c r="B32" s="93" t="s">
        <v>78</v>
      </c>
      <c r="C32" s="86"/>
      <c r="D32" s="86"/>
      <c r="E32" s="88">
        <v>0</v>
      </c>
      <c r="F32" s="86"/>
      <c r="G32" s="92" t="s">
        <v>76</v>
      </c>
      <c r="H32" s="86"/>
      <c r="I32" s="99">
        <f t="shared" si="5"/>
        <v>1654.7308552845213</v>
      </c>
      <c r="J32" s="99">
        <f t="shared" si="6"/>
        <v>1980.3888863041639</v>
      </c>
      <c r="K32" s="99">
        <f t="shared" si="2"/>
        <v>2291.4283359074866</v>
      </c>
      <c r="L32" s="99">
        <f t="shared" si="3"/>
        <v>2526.5164840862931</v>
      </c>
      <c r="M32" s="99">
        <f t="shared" si="4"/>
        <v>3208.8208818488965</v>
      </c>
    </row>
    <row r="33" spans="2:13" x14ac:dyDescent="0.35">
      <c r="B33" s="64" t="s">
        <v>79</v>
      </c>
      <c r="C33" s="65"/>
      <c r="D33" s="65"/>
      <c r="E33" s="66">
        <f>SUM(E22:E32)</f>
        <v>2047.0373246812644</v>
      </c>
      <c r="F33" s="86"/>
      <c r="G33" s="86"/>
      <c r="H33" s="86"/>
      <c r="I33" s="86"/>
      <c r="J33" s="86"/>
      <c r="K33" s="86"/>
      <c r="L33" s="86"/>
      <c r="M33" s="86"/>
    </row>
    <row r="34" spans="2:13" x14ac:dyDescent="0.35">
      <c r="B34" s="86"/>
      <c r="C34" s="86"/>
      <c r="D34" s="86"/>
      <c r="E34" s="86"/>
      <c r="F34" s="86"/>
      <c r="G34" s="92"/>
      <c r="H34" s="86"/>
      <c r="I34" s="99"/>
      <c r="J34" s="99"/>
      <c r="K34" s="99"/>
      <c r="L34" s="99"/>
      <c r="M34" s="99"/>
    </row>
    <row r="35" spans="2:13" x14ac:dyDescent="0.35">
      <c r="B35" s="3" t="s">
        <v>80</v>
      </c>
      <c r="C35" s="3"/>
      <c r="D35" s="3"/>
      <c r="E35" s="89">
        <v>242.017</v>
      </c>
      <c r="F35" s="86"/>
      <c r="G35" s="92"/>
      <c r="H35" s="86"/>
      <c r="I35" s="99"/>
      <c r="J35" s="99"/>
      <c r="K35" s="99"/>
      <c r="L35" s="99"/>
      <c r="M35" s="99"/>
    </row>
    <row r="36" spans="2:13" x14ac:dyDescent="0.35">
      <c r="B36" s="3"/>
      <c r="C36" s="3"/>
      <c r="D36" s="3"/>
      <c r="E36" s="3"/>
      <c r="F36" s="86"/>
      <c r="G36" s="92"/>
      <c r="H36" s="86"/>
      <c r="I36" s="86"/>
      <c r="J36" s="86"/>
      <c r="K36" s="86"/>
      <c r="L36" s="86"/>
      <c r="M36" s="86"/>
    </row>
    <row r="37" spans="2:13" x14ac:dyDescent="0.35">
      <c r="B37" s="68" t="s">
        <v>81</v>
      </c>
      <c r="C37" s="69"/>
      <c r="D37" s="69"/>
      <c r="E37" s="70">
        <f>+E33/E35</f>
        <v>8.4582377464445244</v>
      </c>
      <c r="F37" s="86"/>
      <c r="G37" s="86"/>
      <c r="H37" s="86"/>
      <c r="I37" s="86"/>
      <c r="J37" s="86"/>
      <c r="K37" s="86"/>
      <c r="L37" s="86"/>
      <c r="M37" s="86"/>
    </row>
    <row r="38" spans="2:13" x14ac:dyDescent="0.35">
      <c r="B38" s="71" t="s">
        <v>82</v>
      </c>
      <c r="C38" s="72"/>
      <c r="D38" s="72"/>
      <c r="E38" s="73">
        <f>+E37/'Public-Comps'!D21-1</f>
        <v>-0.66126400695055976</v>
      </c>
      <c r="F38" s="86"/>
      <c r="G38" s="86"/>
      <c r="H38" s="86"/>
      <c r="I38" s="86"/>
      <c r="J38" s="86"/>
      <c r="K38" s="86"/>
      <c r="L38" s="86"/>
      <c r="M38" s="86"/>
    </row>
    <row r="39" spans="2:13" x14ac:dyDescent="0.35">
      <c r="B39" s="85"/>
      <c r="C39" s="85"/>
      <c r="D39" s="85"/>
      <c r="E39" s="85"/>
      <c r="F39" s="86"/>
      <c r="G39" s="92"/>
      <c r="H39" s="86"/>
      <c r="I39" s="86"/>
      <c r="J39" s="86"/>
      <c r="K39" s="86"/>
      <c r="L39" s="86"/>
      <c r="M39" s="86"/>
    </row>
  </sheetData>
  <pageMargins left="0.7" right="0.7" top="0.75" bottom="0.75" header="0.3" footer="0.3"/>
  <pageSetup scale="53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09BE-DEB2-1544-8555-11378C9DC1D6}">
  <sheetPr>
    <pageSetUpPr autoPageBreaks="0"/>
  </sheetPr>
  <dimension ref="B1:M39"/>
  <sheetViews>
    <sheetView showGridLines="0" zoomScaleNormal="100" workbookViewId="0">
      <selection activeCell="J28" sqref="J28"/>
    </sheetView>
  </sheetViews>
  <sheetFormatPr defaultColWidth="9.1796875" defaultRowHeight="15.5" x14ac:dyDescent="0.35"/>
  <cols>
    <col min="1" max="1" width="2.7265625" style="77" customWidth="1"/>
    <col min="2" max="2" width="42.453125" style="77" bestFit="1" customWidth="1"/>
    <col min="3" max="7" width="10.7265625" style="77" customWidth="1"/>
    <col min="8" max="8" width="11.26953125" style="77" bestFit="1" customWidth="1"/>
    <col min="9" max="13" width="10.7265625" style="77" customWidth="1"/>
    <col min="14" max="14" width="2.7265625" style="77" customWidth="1"/>
    <col min="15" max="16384" width="9.1796875" style="77"/>
  </cols>
  <sheetData>
    <row r="1" spans="2:13" x14ac:dyDescent="0.35"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</row>
    <row r="2" spans="2:13" ht="18.5" x14ac:dyDescent="0.45">
      <c r="B2" s="2" t="s">
        <v>50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</row>
    <row r="3" spans="2:13" x14ac:dyDescent="0.35">
      <c r="B3" s="3" t="s">
        <v>1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</row>
    <row r="4" spans="2:13" x14ac:dyDescent="0.35"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</row>
    <row r="5" spans="2:13" x14ac:dyDescent="0.35">
      <c r="B5" s="48" t="s">
        <v>50</v>
      </c>
      <c r="C5" s="6" t="s">
        <v>51</v>
      </c>
      <c r="D5" s="6"/>
      <c r="E5" s="6"/>
      <c r="F5" s="10"/>
      <c r="G5" s="10"/>
      <c r="H5" s="10"/>
      <c r="I5" s="6" t="s">
        <v>52</v>
      </c>
      <c r="J5" s="10"/>
      <c r="K5" s="10"/>
      <c r="L5" s="10"/>
      <c r="M5" s="10"/>
    </row>
    <row r="6" spans="2:13" x14ac:dyDescent="0.35">
      <c r="B6" s="4"/>
      <c r="C6" s="5"/>
      <c r="D6" s="6"/>
      <c r="E6" s="6"/>
      <c r="F6" s="10"/>
      <c r="G6" s="6"/>
      <c r="H6" s="6"/>
      <c r="I6" s="6"/>
      <c r="J6" s="6"/>
      <c r="K6" s="6"/>
      <c r="L6" s="6"/>
      <c r="M6" s="6"/>
    </row>
    <row r="7" spans="2:13" x14ac:dyDescent="0.35">
      <c r="B7" s="4"/>
      <c r="C7" s="5"/>
      <c r="D7" s="5" t="s">
        <v>53</v>
      </c>
      <c r="E7" s="5"/>
      <c r="F7" s="5" t="s">
        <v>54</v>
      </c>
      <c r="G7" s="6"/>
      <c r="H7" s="5" t="s">
        <v>55</v>
      </c>
      <c r="I7" s="5"/>
      <c r="J7" s="5" t="s">
        <v>54</v>
      </c>
      <c r="K7" s="5"/>
      <c r="L7" s="5" t="s">
        <v>53</v>
      </c>
      <c r="M7" s="5"/>
    </row>
    <row r="8" spans="2:13" x14ac:dyDescent="0.35">
      <c r="B8" s="4"/>
      <c r="C8" s="5" t="s">
        <v>38</v>
      </c>
      <c r="D8" s="5" t="s">
        <v>56</v>
      </c>
      <c r="E8" s="5" t="s">
        <v>40</v>
      </c>
      <c r="F8" s="5" t="s">
        <v>56</v>
      </c>
      <c r="G8" s="5" t="s">
        <v>42</v>
      </c>
      <c r="H8" s="5" t="s">
        <v>57</v>
      </c>
      <c r="I8" s="5" t="s">
        <v>42</v>
      </c>
      <c r="J8" s="5" t="s">
        <v>56</v>
      </c>
      <c r="K8" s="5" t="s">
        <v>40</v>
      </c>
      <c r="L8" s="5" t="s">
        <v>56</v>
      </c>
      <c r="M8" s="5" t="s">
        <v>38</v>
      </c>
    </row>
    <row r="9" spans="2:13" x14ac:dyDescent="0.35">
      <c r="B9" s="7" t="s">
        <v>58</v>
      </c>
      <c r="C9" s="8" t="s">
        <v>59</v>
      </c>
      <c r="D9" s="8" t="s">
        <v>59</v>
      </c>
      <c r="E9" s="8" t="s">
        <v>59</v>
      </c>
      <c r="F9" s="8" t="s">
        <v>59</v>
      </c>
      <c r="G9" s="8" t="s">
        <v>59</v>
      </c>
      <c r="H9" s="8" t="s">
        <v>60</v>
      </c>
      <c r="I9" s="8" t="s">
        <v>59</v>
      </c>
      <c r="J9" s="8" t="s">
        <v>59</v>
      </c>
      <c r="K9" s="8" t="s">
        <v>59</v>
      </c>
      <c r="L9" s="8" t="s">
        <v>59</v>
      </c>
      <c r="M9" s="8" t="s">
        <v>59</v>
      </c>
    </row>
    <row r="11" spans="2:13" x14ac:dyDescent="0.35">
      <c r="B11" s="79" t="s">
        <v>61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</row>
    <row r="12" spans="2:13" x14ac:dyDescent="0.35">
      <c r="B12" s="93" t="s">
        <v>62</v>
      </c>
      <c r="C12" s="80"/>
      <c r="D12" s="80"/>
      <c r="E12" s="80"/>
      <c r="F12" s="80"/>
      <c r="G12" s="80"/>
      <c r="H12" s="81"/>
      <c r="I12" s="94"/>
      <c r="J12" s="94"/>
      <c r="K12" s="94"/>
      <c r="L12" s="94"/>
      <c r="M12" s="94"/>
    </row>
    <row r="13" spans="2:13" x14ac:dyDescent="0.35">
      <c r="B13" s="93" t="s">
        <v>83</v>
      </c>
      <c r="C13" s="80"/>
      <c r="D13" s="80"/>
      <c r="E13" s="80"/>
      <c r="F13" s="80"/>
      <c r="G13" s="80"/>
      <c r="H13" s="82"/>
      <c r="I13" s="95"/>
      <c r="J13" s="95"/>
      <c r="K13" s="95"/>
      <c r="L13" s="95"/>
      <c r="M13" s="95"/>
    </row>
    <row r="14" spans="2:13" x14ac:dyDescent="0.35">
      <c r="B14" s="93" t="s">
        <v>84</v>
      </c>
      <c r="C14" s="80"/>
      <c r="D14" s="80"/>
      <c r="E14" s="80"/>
      <c r="F14" s="80"/>
      <c r="G14" s="80"/>
      <c r="H14" s="82"/>
      <c r="I14" s="95"/>
      <c r="J14" s="95"/>
      <c r="K14" s="95"/>
      <c r="L14" s="95"/>
      <c r="M14" s="95"/>
    </row>
    <row r="15" spans="2:13" x14ac:dyDescent="0.35">
      <c r="B15" s="93" t="s">
        <v>63</v>
      </c>
      <c r="C15" s="80"/>
      <c r="D15" s="80"/>
      <c r="E15" s="80"/>
      <c r="F15" s="80"/>
      <c r="G15" s="80"/>
      <c r="H15" s="82"/>
      <c r="I15" s="95"/>
      <c r="J15" s="95"/>
      <c r="K15" s="95"/>
      <c r="L15" s="95"/>
      <c r="M15" s="95"/>
    </row>
    <row r="16" spans="2:13" x14ac:dyDescent="0.35">
      <c r="B16" s="93" t="s">
        <v>85</v>
      </c>
      <c r="C16" s="80"/>
      <c r="D16" s="80"/>
      <c r="E16" s="80"/>
      <c r="F16" s="80"/>
      <c r="G16" s="80"/>
      <c r="H16" s="82"/>
      <c r="I16" s="95"/>
      <c r="J16" s="95"/>
      <c r="K16" s="95"/>
      <c r="L16" s="95"/>
      <c r="M16" s="95"/>
    </row>
    <row r="17" spans="2:13" x14ac:dyDescent="0.35">
      <c r="B17" s="93" t="s">
        <v>86</v>
      </c>
      <c r="C17" s="80"/>
      <c r="D17" s="80"/>
      <c r="E17" s="80"/>
      <c r="F17" s="80"/>
      <c r="G17" s="80"/>
      <c r="H17" s="82"/>
      <c r="I17" s="95"/>
      <c r="J17" s="95"/>
      <c r="K17" s="95"/>
      <c r="L17" s="95"/>
      <c r="M17" s="95"/>
    </row>
    <row r="18" spans="2:13" x14ac:dyDescent="0.35">
      <c r="B18" s="93" t="s">
        <v>64</v>
      </c>
      <c r="C18" s="80"/>
      <c r="D18" s="80"/>
      <c r="E18" s="80"/>
      <c r="F18" s="80"/>
      <c r="G18" s="80"/>
      <c r="H18" s="82"/>
      <c r="I18" s="95"/>
      <c r="J18" s="95"/>
      <c r="K18" s="95"/>
      <c r="L18" s="95"/>
      <c r="M18" s="95"/>
    </row>
    <row r="19" spans="2:13" ht="14.5" customHeight="1" x14ac:dyDescent="0.35">
      <c r="B19" s="93" t="s">
        <v>87</v>
      </c>
      <c r="C19" s="80"/>
      <c r="D19" s="80"/>
      <c r="E19" s="80"/>
      <c r="F19" s="80"/>
      <c r="G19" s="80"/>
      <c r="H19" s="82"/>
      <c r="I19" s="95"/>
      <c r="J19" s="95"/>
      <c r="K19" s="95"/>
      <c r="L19" s="95"/>
      <c r="M19" s="95"/>
    </row>
    <row r="20" spans="2:13" x14ac:dyDescent="0.35">
      <c r="B20" s="93" t="s">
        <v>88</v>
      </c>
      <c r="C20" s="80"/>
      <c r="D20" s="80"/>
      <c r="E20" s="80"/>
      <c r="F20" s="80"/>
      <c r="G20" s="80"/>
      <c r="H20" s="82"/>
      <c r="I20" s="95"/>
      <c r="J20" s="95"/>
      <c r="K20" s="95"/>
      <c r="L20" s="95"/>
      <c r="M20" s="95"/>
    </row>
    <row r="21" spans="2:13" x14ac:dyDescent="0.35">
      <c r="B21" s="93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</row>
    <row r="22" spans="2:13" x14ac:dyDescent="0.35">
      <c r="B22" s="83" t="s">
        <v>65</v>
      </c>
      <c r="C22" s="96"/>
      <c r="D22" s="96"/>
      <c r="E22" s="62">
        <f>+I24</f>
        <v>0</v>
      </c>
      <c r="F22" s="86"/>
      <c r="G22" s="84" t="s">
        <v>66</v>
      </c>
      <c r="H22" s="84"/>
      <c r="I22" s="84"/>
      <c r="J22" s="97"/>
      <c r="K22" s="97"/>
      <c r="L22" s="97"/>
      <c r="M22" s="97"/>
    </row>
    <row r="23" spans="2:13" x14ac:dyDescent="0.35">
      <c r="B23" s="63" t="s">
        <v>67</v>
      </c>
      <c r="C23" s="3"/>
      <c r="D23" s="3"/>
      <c r="E23" s="87"/>
      <c r="F23" s="86"/>
      <c r="G23" s="86"/>
      <c r="H23" s="86"/>
      <c r="I23" s="86"/>
      <c r="J23" s="86"/>
      <c r="K23" s="86"/>
      <c r="L23" s="86"/>
      <c r="M23" s="86"/>
    </row>
    <row r="24" spans="2:13" x14ac:dyDescent="0.35">
      <c r="B24" s="93" t="s">
        <v>68</v>
      </c>
      <c r="C24" s="86"/>
      <c r="D24" s="86"/>
      <c r="E24" s="87"/>
      <c r="F24" s="86"/>
      <c r="G24" s="92" t="s">
        <v>69</v>
      </c>
      <c r="H24" s="86"/>
      <c r="I24" s="98"/>
      <c r="J24" s="98"/>
      <c r="K24" s="98"/>
      <c r="L24" s="98"/>
      <c r="M24" s="98"/>
    </row>
    <row r="25" spans="2:13" x14ac:dyDescent="0.35">
      <c r="B25" s="93" t="s">
        <v>70</v>
      </c>
      <c r="C25" s="86"/>
      <c r="D25" s="86"/>
      <c r="E25" s="87"/>
      <c r="F25" s="86"/>
      <c r="G25" s="92" t="s">
        <v>69</v>
      </c>
      <c r="H25" s="86"/>
      <c r="I25" s="99"/>
      <c r="J25" s="99"/>
      <c r="K25" s="99"/>
      <c r="L25" s="99"/>
      <c r="M25" s="99"/>
    </row>
    <row r="26" spans="2:13" x14ac:dyDescent="0.35">
      <c r="B26" s="93" t="s">
        <v>71</v>
      </c>
      <c r="C26" s="86"/>
      <c r="D26" s="86"/>
      <c r="E26" s="87"/>
      <c r="F26" s="86"/>
      <c r="G26" s="92" t="s">
        <v>69</v>
      </c>
      <c r="H26" s="86"/>
      <c r="I26" s="99"/>
      <c r="J26" s="99"/>
      <c r="K26" s="99"/>
      <c r="L26" s="99"/>
      <c r="M26" s="99"/>
    </row>
    <row r="27" spans="2:13" x14ac:dyDescent="0.35">
      <c r="B27" s="93" t="s">
        <v>72</v>
      </c>
      <c r="C27" s="86"/>
      <c r="D27" s="86"/>
      <c r="E27" s="87"/>
      <c r="F27" s="86"/>
      <c r="G27" s="92" t="s">
        <v>69</v>
      </c>
      <c r="H27" s="86"/>
      <c r="I27" s="99"/>
      <c r="J27" s="99"/>
      <c r="K27" s="99"/>
      <c r="L27" s="99"/>
      <c r="M27" s="99"/>
    </row>
    <row r="28" spans="2:13" x14ac:dyDescent="0.35">
      <c r="B28" s="93" t="s">
        <v>73</v>
      </c>
      <c r="C28" s="86"/>
      <c r="D28" s="86"/>
      <c r="E28" s="87"/>
      <c r="F28" s="86"/>
      <c r="G28" s="92" t="s">
        <v>69</v>
      </c>
      <c r="H28" s="86"/>
      <c r="I28" s="99"/>
      <c r="J28" s="99"/>
      <c r="K28" s="99"/>
      <c r="L28" s="99"/>
      <c r="M28" s="99"/>
    </row>
    <row r="29" spans="2:13" x14ac:dyDescent="0.35">
      <c r="B29" s="93" t="s">
        <v>74</v>
      </c>
      <c r="C29" s="86"/>
      <c r="D29" s="86"/>
      <c r="E29" s="87"/>
      <c r="F29" s="86"/>
      <c r="G29" s="92" t="s">
        <v>69</v>
      </c>
      <c r="H29" s="86"/>
      <c r="I29" s="99"/>
      <c r="J29" s="99"/>
      <c r="K29" s="99"/>
      <c r="L29" s="99"/>
      <c r="M29" s="99"/>
    </row>
    <row r="30" spans="2:13" x14ac:dyDescent="0.35">
      <c r="B30" s="93" t="s">
        <v>75</v>
      </c>
      <c r="C30" s="86"/>
      <c r="D30" s="86"/>
      <c r="E30" s="87"/>
      <c r="F30" s="86"/>
      <c r="G30" s="92" t="s">
        <v>76</v>
      </c>
      <c r="H30" s="86"/>
      <c r="I30" s="99"/>
      <c r="J30" s="99"/>
      <c r="K30" s="99"/>
      <c r="L30" s="99"/>
      <c r="M30" s="99"/>
    </row>
    <row r="31" spans="2:13" x14ac:dyDescent="0.35">
      <c r="B31" s="93" t="s">
        <v>77</v>
      </c>
      <c r="C31" s="86"/>
      <c r="D31" s="86"/>
      <c r="E31" s="87"/>
      <c r="F31" s="86"/>
      <c r="G31" s="92" t="s">
        <v>76</v>
      </c>
      <c r="H31" s="86"/>
      <c r="I31" s="99"/>
      <c r="J31" s="99"/>
      <c r="K31" s="99"/>
      <c r="L31" s="99"/>
      <c r="M31" s="99"/>
    </row>
    <row r="32" spans="2:13" x14ac:dyDescent="0.35">
      <c r="B32" s="93" t="s">
        <v>78</v>
      </c>
      <c r="C32" s="86"/>
      <c r="D32" s="86"/>
      <c r="E32" s="88"/>
      <c r="F32" s="86"/>
      <c r="G32" s="92" t="s">
        <v>76</v>
      </c>
      <c r="H32" s="86"/>
      <c r="I32" s="99"/>
      <c r="J32" s="99"/>
      <c r="K32" s="99"/>
      <c r="L32" s="99"/>
      <c r="M32" s="99"/>
    </row>
    <row r="33" spans="2:13" x14ac:dyDescent="0.35">
      <c r="B33" s="64" t="s">
        <v>79</v>
      </c>
      <c r="C33" s="65"/>
      <c r="D33" s="65"/>
      <c r="E33" s="66"/>
      <c r="F33" s="86"/>
      <c r="G33" s="86"/>
      <c r="H33" s="86"/>
      <c r="I33" s="86"/>
      <c r="J33" s="86"/>
      <c r="K33" s="86"/>
      <c r="L33" s="86"/>
      <c r="M33" s="86"/>
    </row>
    <row r="34" spans="2:13" x14ac:dyDescent="0.35">
      <c r="B34" s="86"/>
      <c r="C34" s="86"/>
      <c r="D34" s="86"/>
      <c r="E34" s="86"/>
      <c r="F34" s="86"/>
      <c r="G34" s="92"/>
      <c r="H34" s="86"/>
      <c r="I34" s="99"/>
      <c r="J34" s="99"/>
      <c r="K34" s="99"/>
      <c r="L34" s="99"/>
      <c r="M34" s="99"/>
    </row>
    <row r="35" spans="2:13" x14ac:dyDescent="0.35">
      <c r="B35" s="3" t="s">
        <v>80</v>
      </c>
      <c r="C35" s="3"/>
      <c r="D35" s="3"/>
      <c r="E35" s="89"/>
      <c r="F35" s="86"/>
      <c r="G35" s="92"/>
      <c r="H35" s="86"/>
      <c r="I35" s="99"/>
      <c r="J35" s="99"/>
      <c r="K35" s="99"/>
      <c r="L35" s="99"/>
      <c r="M35" s="99"/>
    </row>
    <row r="36" spans="2:13" x14ac:dyDescent="0.35">
      <c r="B36" s="3"/>
      <c r="C36" s="3"/>
      <c r="D36" s="3"/>
      <c r="E36" s="3"/>
      <c r="F36" s="86"/>
      <c r="G36" s="92"/>
      <c r="H36" s="86"/>
      <c r="I36" s="86"/>
      <c r="J36" s="86"/>
      <c r="K36" s="86"/>
      <c r="L36" s="86"/>
      <c r="M36" s="86"/>
    </row>
    <row r="37" spans="2:13" x14ac:dyDescent="0.35">
      <c r="B37" s="68" t="s">
        <v>81</v>
      </c>
      <c r="C37" s="69"/>
      <c r="D37" s="69"/>
      <c r="E37" s="70"/>
      <c r="F37" s="86"/>
      <c r="G37" s="86"/>
      <c r="H37" s="86"/>
      <c r="I37" s="86"/>
      <c r="J37" s="86"/>
      <c r="K37" s="86"/>
      <c r="L37" s="86"/>
      <c r="M37" s="86"/>
    </row>
    <row r="38" spans="2:13" x14ac:dyDescent="0.35">
      <c r="B38" s="71" t="s">
        <v>82</v>
      </c>
      <c r="C38" s="72"/>
      <c r="D38" s="72"/>
      <c r="E38" s="73"/>
      <c r="F38" s="86"/>
      <c r="G38" s="86"/>
      <c r="H38" s="86"/>
      <c r="I38" s="86"/>
      <c r="J38" s="86"/>
      <c r="K38" s="86"/>
      <c r="L38" s="86"/>
      <c r="M38" s="86"/>
    </row>
    <row r="39" spans="2:13" x14ac:dyDescent="0.35">
      <c r="B39" s="85"/>
      <c r="C39" s="85"/>
      <c r="D39" s="85"/>
      <c r="E39" s="85"/>
      <c r="F39" s="86"/>
      <c r="G39" s="92"/>
      <c r="H39" s="86"/>
      <c r="I39" s="86"/>
      <c r="J39" s="86"/>
      <c r="K39" s="86"/>
      <c r="L39" s="86"/>
      <c r="M39" s="86"/>
    </row>
  </sheetData>
  <pageMargins left="0.7" right="0.7" top="0.75" bottom="0.75" header="0.3" footer="0.3"/>
  <pageSetup scale="53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F783B9-BA0F-4C17-9A37-B49E95E6309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Public-Comps</vt:lpstr>
      <vt:lpstr>Public-Comps (2)</vt:lpstr>
      <vt:lpstr>ValSum</vt:lpstr>
      <vt:lpstr>ValSum (2)</vt:lpstr>
      <vt:lpstr>'ValSum (2)'!Diluted_Shares</vt:lpstr>
      <vt:lpstr>Diluted_Shares</vt:lpstr>
      <vt:lpstr>'Public-Comps'!Print_Area</vt:lpstr>
      <vt:lpstr>'Public-Comps (2)'!Print_Area</vt:lpstr>
      <vt:lpstr>ValSum!Print_Area</vt:lpstr>
      <vt:lpstr>'ValSum (2)'!Print_Area</vt:lpstr>
    </vt:vector>
  </TitlesOfParts>
  <Manager/>
  <Company>LENOVO CUSTOMER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Intern</dc:creator>
  <cp:keywords/>
  <dc:description/>
  <cp:lastModifiedBy>Intern</cp:lastModifiedBy>
  <cp:revision/>
  <dcterms:created xsi:type="dcterms:W3CDTF">2009-06-26T05:31:17Z</dcterms:created>
  <dcterms:modified xsi:type="dcterms:W3CDTF">2026-07-04T10:12:11Z</dcterms:modified>
  <cp:category/>
  <cp:contentStatus/>
</cp:coreProperties>
</file>